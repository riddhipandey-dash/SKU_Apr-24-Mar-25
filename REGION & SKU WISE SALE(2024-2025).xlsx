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AISHALI\VAISHALI-2022\VK\MONTHLY SKU WISE SALE\"/>
    </mc:Choice>
  </mc:AlternateContent>
  <xr:revisionPtr revIDLastSave="0" documentId="13_ncr:1_{442648BB-83E2-4BFA-B1D7-41644CEE1EAC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APR" sheetId="1" r:id="rId1"/>
    <sheet name="MAY" sheetId="2" r:id="rId2"/>
    <sheet name="JUNE" sheetId="3" r:id="rId3"/>
    <sheet name="JULY" sheetId="4" r:id="rId4"/>
    <sheet name="AUG" sheetId="5" r:id="rId5"/>
    <sheet name="SEP" sheetId="6" r:id="rId6"/>
    <sheet name="OCT" sheetId="7" r:id="rId7"/>
    <sheet name="NOV" sheetId="8" r:id="rId8"/>
    <sheet name="DEC" sheetId="9" r:id="rId9"/>
    <sheet name="JAN" sheetId="10" r:id="rId10"/>
    <sheet name="FEB" sheetId="11" r:id="rId11"/>
    <sheet name="MAR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" i="12" l="1"/>
  <c r="AC5" i="12"/>
  <c r="AB5" i="12"/>
  <c r="T5" i="12"/>
  <c r="S5" i="12"/>
  <c r="R5" i="12"/>
  <c r="Q5" i="12"/>
  <c r="P5" i="12"/>
  <c r="O5" i="12"/>
  <c r="N5" i="12"/>
  <c r="F5" i="12"/>
  <c r="E5" i="12"/>
  <c r="AD27" i="12"/>
  <c r="AB27" i="12"/>
  <c r="V27" i="12"/>
  <c r="U27" i="12"/>
  <c r="T27" i="12"/>
  <c r="S27" i="12"/>
  <c r="R27" i="12"/>
  <c r="Q27" i="12"/>
  <c r="P27" i="12"/>
  <c r="O27" i="12"/>
  <c r="I27" i="12"/>
  <c r="H27" i="12"/>
  <c r="F27" i="12"/>
  <c r="E27" i="12"/>
  <c r="AB87" i="12"/>
  <c r="AB86" i="12"/>
  <c r="I86" i="12"/>
  <c r="AD6" i="12"/>
  <c r="AB6" i="12"/>
  <c r="V6" i="12"/>
  <c r="U6" i="12"/>
  <c r="P6" i="12"/>
  <c r="O6" i="12"/>
  <c r="I6" i="12"/>
  <c r="F6" i="12"/>
  <c r="E6" i="12"/>
  <c r="U15" i="12"/>
  <c r="AD36" i="12" l="1"/>
  <c r="AC36" i="12"/>
  <c r="AB36" i="12"/>
  <c r="I36" i="12"/>
  <c r="F36" i="12"/>
  <c r="E36" i="12"/>
  <c r="AB81" i="12"/>
  <c r="AD81" i="12"/>
  <c r="Q81" i="12"/>
  <c r="O81" i="12"/>
  <c r="F81" i="12"/>
  <c r="E81" i="12"/>
  <c r="AD13" i="12"/>
  <c r="AB13" i="12"/>
  <c r="V13" i="12"/>
  <c r="U13" i="12"/>
  <c r="T13" i="12"/>
  <c r="S13" i="12"/>
  <c r="R13" i="12"/>
  <c r="Q13" i="12"/>
  <c r="P13" i="12"/>
  <c r="I13" i="12"/>
  <c r="F13" i="12"/>
  <c r="E13" i="12"/>
  <c r="AB94" i="12"/>
  <c r="I94" i="12"/>
  <c r="G94" i="12"/>
  <c r="E94" i="12"/>
  <c r="F94" i="12"/>
  <c r="AB78" i="12"/>
  <c r="F78" i="12"/>
  <c r="E78" i="12"/>
  <c r="AD16" i="12"/>
  <c r="U16" i="12"/>
  <c r="AD19" i="12"/>
  <c r="AC19" i="12"/>
  <c r="AB19" i="12"/>
  <c r="V19" i="12"/>
  <c r="T19" i="12"/>
  <c r="R19" i="12"/>
  <c r="Q19" i="12"/>
  <c r="P19" i="12"/>
  <c r="O19" i="12"/>
  <c r="M19" i="12"/>
  <c r="I19" i="12"/>
  <c r="G19" i="12"/>
  <c r="F19" i="12"/>
  <c r="E19" i="12"/>
  <c r="AD72" i="12" l="1"/>
  <c r="AB72" i="12"/>
  <c r="V72" i="12"/>
  <c r="U72" i="12"/>
  <c r="R72" i="12"/>
  <c r="P72" i="12"/>
  <c r="O72" i="12"/>
  <c r="E72" i="12"/>
  <c r="AG29" i="12"/>
  <c r="AF9" i="12"/>
  <c r="AD9" i="12"/>
  <c r="AB9" i="12"/>
  <c r="AA9" i="12"/>
  <c r="Z9" i="12"/>
  <c r="Y9" i="12"/>
  <c r="X9" i="12"/>
  <c r="V9" i="12"/>
  <c r="T9" i="12"/>
  <c r="Q9" i="12"/>
  <c r="O9" i="12"/>
  <c r="F9" i="12"/>
  <c r="E9" i="12"/>
  <c r="AD11" i="12"/>
  <c r="AB11" i="12"/>
  <c r="V11" i="12"/>
  <c r="U11" i="12"/>
  <c r="R11" i="12"/>
  <c r="I11" i="12"/>
  <c r="E11" i="12"/>
  <c r="AG71" i="12"/>
  <c r="AE18" i="12"/>
  <c r="AD18" i="12"/>
  <c r="AB18" i="12"/>
  <c r="W18" i="12"/>
  <c r="V18" i="12"/>
  <c r="T18" i="12"/>
  <c r="S18" i="12"/>
  <c r="R18" i="12"/>
  <c r="Q18" i="12"/>
  <c r="P18" i="12"/>
  <c r="O18" i="12"/>
  <c r="I18" i="12"/>
  <c r="F18" i="12"/>
  <c r="E18" i="12"/>
  <c r="AE5" i="12"/>
  <c r="W5" i="12"/>
  <c r="I5" i="12"/>
  <c r="AE55" i="12"/>
  <c r="AB55" i="12"/>
  <c r="AD55" i="12"/>
  <c r="W55" i="12"/>
  <c r="V55" i="12"/>
  <c r="U55" i="12"/>
  <c r="H55" i="12"/>
  <c r="G55" i="12"/>
  <c r="AD23" i="12"/>
  <c r="AB23" i="12"/>
  <c r="R23" i="12"/>
  <c r="P23" i="12"/>
  <c r="G23" i="12"/>
  <c r="F23" i="12"/>
  <c r="E23" i="12"/>
  <c r="AD7" i="12"/>
  <c r="AB7" i="12"/>
  <c r="V7" i="12"/>
  <c r="U7" i="12"/>
  <c r="T7" i="12"/>
  <c r="S7" i="12"/>
  <c r="R7" i="12"/>
  <c r="Q7" i="12"/>
  <c r="P7" i="12"/>
  <c r="O7" i="12"/>
  <c r="F7" i="12"/>
  <c r="E7" i="12"/>
  <c r="T6" i="12"/>
  <c r="Q6" i="12"/>
  <c r="AG56" i="12"/>
  <c r="AF8" i="12"/>
  <c r="AD8" i="12"/>
  <c r="AB8" i="12"/>
  <c r="Y8" i="12"/>
  <c r="Z8" i="12"/>
  <c r="X8" i="12"/>
  <c r="V8" i="12"/>
  <c r="U8" i="12"/>
  <c r="T8" i="12"/>
  <c r="S8" i="12"/>
  <c r="R8" i="12"/>
  <c r="Q8" i="12"/>
  <c r="P8" i="12"/>
  <c r="O8" i="12"/>
  <c r="I8" i="12"/>
  <c r="G8" i="12"/>
  <c r="F8" i="12"/>
  <c r="E8" i="12"/>
  <c r="AE15" i="12"/>
  <c r="AD15" i="12"/>
  <c r="AB15" i="12"/>
  <c r="W15" i="12"/>
  <c r="V15" i="12"/>
  <c r="T15" i="12"/>
  <c r="S15" i="12"/>
  <c r="R15" i="12"/>
  <c r="Q15" i="12"/>
  <c r="P15" i="12"/>
  <c r="O15" i="12"/>
  <c r="I15" i="12"/>
  <c r="G15" i="12"/>
  <c r="F15" i="12"/>
  <c r="E15" i="12"/>
  <c r="AB95" i="12"/>
  <c r="I95" i="12"/>
  <c r="E95" i="12"/>
  <c r="S6" i="12"/>
  <c r="R6" i="12"/>
  <c r="S81" i="12"/>
  <c r="I81" i="12"/>
  <c r="AE9" i="12"/>
  <c r="W9" i="12"/>
  <c r="I9" i="12"/>
  <c r="AG77" i="12"/>
  <c r="E86" i="12"/>
  <c r="AF14" i="12"/>
  <c r="AE14" i="12"/>
  <c r="AD14" i="12"/>
  <c r="AC14" i="12"/>
  <c r="AB14" i="12"/>
  <c r="AA14" i="12"/>
  <c r="Z14" i="12"/>
  <c r="X14" i="12"/>
  <c r="W14" i="12"/>
  <c r="V14" i="12"/>
  <c r="U14" i="12"/>
  <c r="Q14" i="12"/>
  <c r="N14" i="12"/>
  <c r="F14" i="12"/>
  <c r="E14" i="12"/>
  <c r="AE36" i="12"/>
  <c r="W36" i="12"/>
  <c r="Q36" i="12"/>
  <c r="O36" i="12"/>
  <c r="M36" i="12"/>
  <c r="AE19" i="12"/>
  <c r="AF19" i="12"/>
  <c r="AA19" i="12"/>
  <c r="Z19" i="12"/>
  <c r="Y19" i="12"/>
  <c r="X19" i="12"/>
  <c r="W19" i="12"/>
  <c r="S19" i="12"/>
  <c r="N19" i="12"/>
  <c r="AE16" i="12"/>
  <c r="AC16" i="12"/>
  <c r="W16" i="12"/>
  <c r="V16" i="12"/>
  <c r="T16" i="12"/>
  <c r="S16" i="12"/>
  <c r="R16" i="12"/>
  <c r="Q16" i="12"/>
  <c r="P16" i="12"/>
  <c r="N16" i="12"/>
  <c r="AC35" i="12"/>
  <c r="AD35" i="12"/>
  <c r="AB35" i="12"/>
  <c r="AC6" i="12"/>
  <c r="N6" i="12"/>
  <c r="M6" i="12"/>
  <c r="AD41" i="12"/>
  <c r="AB41" i="12"/>
  <c r="AB96" i="12"/>
  <c r="I96" i="12"/>
  <c r="F96" i="12"/>
  <c r="E96" i="12"/>
  <c r="AC13" i="12"/>
  <c r="N13" i="12"/>
  <c r="AE6" i="12"/>
  <c r="W6" i="12"/>
  <c r="Q11" i="12"/>
  <c r="AF82" i="12"/>
  <c r="AD82" i="12"/>
  <c r="AC82" i="12"/>
  <c r="AB82" i="12"/>
  <c r="AA82" i="12"/>
  <c r="Y82" i="12"/>
  <c r="U82" i="12"/>
  <c r="R82" i="12"/>
  <c r="P82" i="12"/>
  <c r="N82" i="12"/>
  <c r="I82" i="12"/>
  <c r="H82" i="12"/>
  <c r="G82" i="12"/>
  <c r="F82" i="12"/>
  <c r="E82" i="12"/>
  <c r="AD87" i="12"/>
  <c r="AF38" i="12"/>
  <c r="AE38" i="12"/>
  <c r="AD38" i="12"/>
  <c r="AC38" i="12"/>
  <c r="AB38" i="12"/>
  <c r="AA38" i="12"/>
  <c r="Y38" i="12"/>
  <c r="X38" i="12"/>
  <c r="W38" i="12"/>
  <c r="T38" i="12"/>
  <c r="R38" i="12"/>
  <c r="Q38" i="12"/>
  <c r="P38" i="12"/>
  <c r="O38" i="12"/>
  <c r="M38" i="12"/>
  <c r="K38" i="12"/>
  <c r="I38" i="12"/>
  <c r="G38" i="12"/>
  <c r="F38" i="12"/>
  <c r="E38" i="12"/>
  <c r="AE27" i="12"/>
  <c r="AC27" i="12"/>
  <c r="W27" i="12"/>
  <c r="N27" i="12"/>
  <c r="M27" i="12"/>
  <c r="G27" i="12"/>
  <c r="AF80" i="12"/>
  <c r="AD80" i="12"/>
  <c r="AC80" i="12"/>
  <c r="AB80" i="12"/>
  <c r="Y80" i="12"/>
  <c r="X80" i="12"/>
  <c r="U80" i="12"/>
  <c r="T80" i="12"/>
  <c r="P80" i="12"/>
  <c r="O80" i="12"/>
  <c r="N80" i="12"/>
  <c r="M80" i="12"/>
  <c r="J80" i="12"/>
  <c r="I80" i="12"/>
  <c r="F80" i="12"/>
  <c r="E80" i="12"/>
  <c r="AE20" i="12"/>
  <c r="AD20" i="12"/>
  <c r="AC20" i="12"/>
  <c r="AB20" i="12"/>
  <c r="W20" i="12"/>
  <c r="V20" i="12"/>
  <c r="U20" i="12"/>
  <c r="T20" i="12"/>
  <c r="S20" i="12"/>
  <c r="R20" i="12"/>
  <c r="Q20" i="12"/>
  <c r="P20" i="12"/>
  <c r="O20" i="12"/>
  <c r="M20" i="12"/>
  <c r="K20" i="12"/>
  <c r="I20" i="12"/>
  <c r="F20" i="12"/>
  <c r="E20" i="12"/>
  <c r="AE7" i="12"/>
  <c r="AC7" i="12"/>
  <c r="W7" i="12"/>
  <c r="M7" i="12"/>
  <c r="K7" i="12"/>
  <c r="I7" i="12"/>
  <c r="AD78" i="12"/>
  <c r="Y78" i="12"/>
  <c r="X78" i="12"/>
  <c r="U78" i="12"/>
  <c r="Q78" i="12"/>
  <c r="P78" i="12"/>
  <c r="O78" i="12"/>
  <c r="I78" i="12"/>
  <c r="G78" i="12"/>
  <c r="AE82" i="12"/>
  <c r="Z82" i="12"/>
  <c r="X82" i="12"/>
  <c r="W82" i="12"/>
  <c r="V82" i="12"/>
  <c r="T82" i="12"/>
  <c r="S82" i="12"/>
  <c r="Q82" i="12"/>
  <c r="O82" i="12"/>
  <c r="M82" i="12"/>
  <c r="L82" i="12"/>
  <c r="AF18" i="12"/>
  <c r="H18" i="12"/>
  <c r="G18" i="12"/>
  <c r="T72" i="12"/>
  <c r="AE23" i="12"/>
  <c r="AC23" i="12"/>
  <c r="W23" i="12"/>
  <c r="Q23" i="12"/>
  <c r="M23" i="12"/>
  <c r="K23" i="12"/>
  <c r="AD95" i="12"/>
  <c r="AF95" i="12"/>
  <c r="AC95" i="12"/>
  <c r="Z95" i="12"/>
  <c r="X95" i="12"/>
  <c r="T95" i="12"/>
  <c r="S95" i="12"/>
  <c r="L95" i="12"/>
  <c r="M95" i="12"/>
  <c r="N95" i="12"/>
  <c r="K95" i="12"/>
  <c r="G95" i="12"/>
  <c r="F95" i="12"/>
  <c r="AF55" i="12"/>
  <c r="AC55" i="12"/>
  <c r="AA55" i="12"/>
  <c r="Y55" i="12"/>
  <c r="Z55" i="12"/>
  <c r="X55" i="12"/>
  <c r="T55" i="12"/>
  <c r="R55" i="12"/>
  <c r="P55" i="12"/>
  <c r="L55" i="12"/>
  <c r="M55" i="12"/>
  <c r="N55" i="12"/>
  <c r="K55" i="12"/>
  <c r="I55" i="12"/>
  <c r="F55" i="12"/>
  <c r="E55" i="12"/>
  <c r="AD81" i="11"/>
  <c r="AB81" i="11"/>
  <c r="S81" i="11"/>
  <c r="Q81" i="11"/>
  <c r="O81" i="11"/>
  <c r="I81" i="11"/>
  <c r="E81" i="11"/>
  <c r="R9" i="12"/>
  <c r="P9" i="12"/>
  <c r="AB92" i="12"/>
  <c r="AG92" i="12" s="1"/>
  <c r="AB32" i="12"/>
  <c r="AG32" i="12" s="1"/>
  <c r="AG49" i="12"/>
  <c r="AG35" i="12" l="1"/>
  <c r="V98" i="12"/>
  <c r="AG97" i="12"/>
  <c r="AG96" i="12"/>
  <c r="AG95" i="12"/>
  <c r="AG94" i="12"/>
  <c r="AG93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6" i="12"/>
  <c r="AG75" i="12"/>
  <c r="AG74" i="12"/>
  <c r="AG73" i="12"/>
  <c r="AG72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J98" i="12"/>
  <c r="AG57" i="12"/>
  <c r="AG55" i="12"/>
  <c r="AG54" i="12"/>
  <c r="AG53" i="12"/>
  <c r="AG52" i="12"/>
  <c r="AG51" i="12"/>
  <c r="AG50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4" i="12"/>
  <c r="AG33" i="12"/>
  <c r="AG31" i="12"/>
  <c r="AG30" i="12"/>
  <c r="AG28" i="12"/>
  <c r="AG27" i="12"/>
  <c r="AG26" i="12"/>
  <c r="AG25" i="12"/>
  <c r="AG24" i="12"/>
  <c r="AG23" i="12"/>
  <c r="AG22" i="12"/>
  <c r="AG21" i="12"/>
  <c r="AG20" i="12"/>
  <c r="AG19" i="12"/>
  <c r="Z98" i="12"/>
  <c r="AG18" i="12"/>
  <c r="AG17" i="12"/>
  <c r="AG16" i="12"/>
  <c r="AG15" i="12"/>
  <c r="U98" i="12"/>
  <c r="AF98" i="12"/>
  <c r="AG14" i="12"/>
  <c r="AA98" i="12"/>
  <c r="Y98" i="12"/>
  <c r="X98" i="12"/>
  <c r="AG13" i="12"/>
  <c r="AG12" i="12"/>
  <c r="AG11" i="12"/>
  <c r="AG10" i="12"/>
  <c r="AG9" i="12"/>
  <c r="AG8" i="12"/>
  <c r="H98" i="12"/>
  <c r="G98" i="12"/>
  <c r="AG7" i="12"/>
  <c r="R98" i="12"/>
  <c r="N98" i="12"/>
  <c r="AG6" i="12"/>
  <c r="F98" i="12"/>
  <c r="AE98" i="12"/>
  <c r="AD98" i="12"/>
  <c r="AC98" i="12"/>
  <c r="AB98" i="12"/>
  <c r="W98" i="12"/>
  <c r="T98" i="12"/>
  <c r="S98" i="12"/>
  <c r="Q98" i="12"/>
  <c r="P98" i="12"/>
  <c r="O98" i="12"/>
  <c r="M98" i="12"/>
  <c r="L98" i="12"/>
  <c r="K98" i="12"/>
  <c r="I98" i="12"/>
  <c r="E98" i="12"/>
  <c r="I6" i="11"/>
  <c r="AG5" i="12" l="1"/>
  <c r="AG98" i="12" s="1"/>
  <c r="AE17" i="11"/>
  <c r="AD17" i="11"/>
  <c r="AB17" i="11"/>
  <c r="W17" i="11"/>
  <c r="T17" i="11"/>
  <c r="R17" i="11"/>
  <c r="Q17" i="11"/>
  <c r="P17" i="11"/>
  <c r="O17" i="11"/>
  <c r="I17" i="11"/>
  <c r="G17" i="11"/>
  <c r="F17" i="11"/>
  <c r="E17" i="11"/>
  <c r="AB12" i="11"/>
  <c r="AD12" i="11"/>
  <c r="T12" i="11"/>
  <c r="R12" i="11"/>
  <c r="Q12" i="11"/>
  <c r="P12" i="11"/>
  <c r="O12" i="11"/>
  <c r="I12" i="11"/>
  <c r="F12" i="11"/>
  <c r="AD9" i="11"/>
  <c r="AB9" i="11"/>
  <c r="T9" i="11"/>
  <c r="R9" i="11"/>
  <c r="Q9" i="11"/>
  <c r="P9" i="11"/>
  <c r="O9" i="11"/>
  <c r="I9" i="11"/>
  <c r="F9" i="11"/>
  <c r="E9" i="11"/>
  <c r="AB11" i="11"/>
  <c r="AD11" i="11"/>
  <c r="T11" i="11"/>
  <c r="S11" i="11"/>
  <c r="R11" i="11"/>
  <c r="Q11" i="11"/>
  <c r="P11" i="11"/>
  <c r="O11" i="11"/>
  <c r="I11" i="11"/>
  <c r="E11" i="11"/>
  <c r="AF28" i="11"/>
  <c r="AE28" i="11"/>
  <c r="AD28" i="11"/>
  <c r="AB28" i="11"/>
  <c r="Z28" i="11"/>
  <c r="Y28" i="11"/>
  <c r="X28" i="11"/>
  <c r="W28" i="11"/>
  <c r="R28" i="11"/>
  <c r="P28" i="11"/>
  <c r="I28" i="11"/>
  <c r="F28" i="11"/>
  <c r="E28" i="11"/>
  <c r="AE5" i="11"/>
  <c r="AD5" i="11"/>
  <c r="AC5" i="11"/>
  <c r="AB5" i="11"/>
  <c r="W5" i="11"/>
  <c r="T5" i="11"/>
  <c r="S5" i="11"/>
  <c r="R5" i="11"/>
  <c r="Q5" i="11"/>
  <c r="P5" i="11"/>
  <c r="O5" i="11"/>
  <c r="N5" i="11"/>
  <c r="L5" i="11"/>
  <c r="K5" i="11"/>
  <c r="I5" i="11"/>
  <c r="F5" i="11"/>
  <c r="E5" i="11"/>
  <c r="AD8" i="11"/>
  <c r="AB8" i="11"/>
  <c r="T8" i="11"/>
  <c r="R8" i="11"/>
  <c r="Q8" i="11"/>
  <c r="P8" i="11"/>
  <c r="O8" i="11"/>
  <c r="I8" i="11"/>
  <c r="H8" i="11"/>
  <c r="G8" i="11"/>
  <c r="F8" i="11"/>
  <c r="E8" i="11"/>
  <c r="AB6" i="11"/>
  <c r="AB33" i="11" l="1"/>
  <c r="AD33" i="11"/>
  <c r="R33" i="11"/>
  <c r="Q33" i="11"/>
  <c r="P33" i="11"/>
  <c r="O33" i="11"/>
  <c r="I33" i="11"/>
  <c r="F33" i="11"/>
  <c r="E33" i="11"/>
  <c r="T33" i="11"/>
  <c r="AE16" i="11"/>
  <c r="AD16" i="11"/>
  <c r="W16" i="11"/>
  <c r="AF29" i="11"/>
  <c r="AD29" i="11"/>
  <c r="AB29" i="11"/>
  <c r="AA29" i="11"/>
  <c r="X29" i="11"/>
  <c r="S29" i="11"/>
  <c r="R29" i="11"/>
  <c r="P29" i="11"/>
  <c r="O29" i="11"/>
  <c r="I29" i="11"/>
  <c r="F29" i="11"/>
  <c r="E29" i="11"/>
  <c r="AD34" i="11"/>
  <c r="AB34" i="11"/>
  <c r="Q34" i="11"/>
  <c r="O34" i="11"/>
  <c r="I34" i="11"/>
  <c r="G34" i="11"/>
  <c r="F34" i="11"/>
  <c r="AF40" i="11"/>
  <c r="AD40" i="11"/>
  <c r="AB40" i="11"/>
  <c r="AA40" i="11"/>
  <c r="P40" i="11"/>
  <c r="AB19" i="11"/>
  <c r="AF19" i="11"/>
  <c r="AD19" i="11"/>
  <c r="AC19" i="11"/>
  <c r="Z19" i="11"/>
  <c r="Y19" i="11"/>
  <c r="X19" i="11"/>
  <c r="T19" i="11"/>
  <c r="S19" i="11"/>
  <c r="R19" i="11"/>
  <c r="Q19" i="11"/>
  <c r="P19" i="11"/>
  <c r="O19" i="11"/>
  <c r="M19" i="11"/>
  <c r="K19" i="11"/>
  <c r="I19" i="11"/>
  <c r="H19" i="11"/>
  <c r="G19" i="11"/>
  <c r="F19" i="11"/>
  <c r="E19" i="11"/>
  <c r="AG56" i="11"/>
  <c r="V91" i="11"/>
  <c r="AG86" i="11"/>
  <c r="AE15" i="11"/>
  <c r="AD15" i="11"/>
  <c r="AB15" i="11"/>
  <c r="W15" i="11"/>
  <c r="U15" i="11"/>
  <c r="S15" i="11"/>
  <c r="T15" i="11"/>
  <c r="R15" i="11"/>
  <c r="P15" i="11"/>
  <c r="I15" i="11"/>
  <c r="G15" i="11"/>
  <c r="F15" i="11"/>
  <c r="E15" i="11"/>
  <c r="AE20" i="11"/>
  <c r="AD20" i="11"/>
  <c r="AB20" i="11"/>
  <c r="W20" i="11"/>
  <c r="U20" i="11"/>
  <c r="T20" i="11"/>
  <c r="R20" i="11"/>
  <c r="P20" i="11"/>
  <c r="F20" i="11"/>
  <c r="E20" i="11"/>
  <c r="AC6" i="11"/>
  <c r="AD6" i="11"/>
  <c r="T6" i="11"/>
  <c r="S6" i="11"/>
  <c r="R6" i="11"/>
  <c r="Q6" i="11"/>
  <c r="P6" i="11"/>
  <c r="O6" i="11"/>
  <c r="N6" i="11"/>
  <c r="M6" i="11"/>
  <c r="L6" i="11"/>
  <c r="K6" i="11"/>
  <c r="F6" i="11"/>
  <c r="E6" i="11"/>
  <c r="AD41" i="11"/>
  <c r="AB41" i="11"/>
  <c r="P41" i="11"/>
  <c r="T41" i="11"/>
  <c r="R41" i="11"/>
  <c r="Q41" i="11"/>
  <c r="O41" i="11"/>
  <c r="I41" i="11"/>
  <c r="F41" i="11"/>
  <c r="AF35" i="11"/>
  <c r="AE35" i="11"/>
  <c r="AD35" i="11"/>
  <c r="AC35" i="11"/>
  <c r="AB35" i="11"/>
  <c r="Y35" i="11"/>
  <c r="Z35" i="11"/>
  <c r="AA35" i="11"/>
  <c r="X35" i="11"/>
  <c r="W35" i="11"/>
  <c r="T35" i="11"/>
  <c r="S35" i="11"/>
  <c r="R35" i="11"/>
  <c r="Q35" i="11"/>
  <c r="P35" i="11"/>
  <c r="O35" i="11"/>
  <c r="M35" i="11"/>
  <c r="K35" i="11"/>
  <c r="I35" i="11"/>
  <c r="G35" i="11"/>
  <c r="F35" i="11"/>
  <c r="E35" i="11"/>
  <c r="AF69" i="11"/>
  <c r="AD69" i="11"/>
  <c r="AC69" i="11"/>
  <c r="L69" i="11"/>
  <c r="AC75" i="11"/>
  <c r="AD75" i="11"/>
  <c r="AE75" i="11"/>
  <c r="AB75" i="11"/>
  <c r="W75" i="11"/>
  <c r="T75" i="11"/>
  <c r="S75" i="11"/>
  <c r="R75" i="11"/>
  <c r="Q75" i="11"/>
  <c r="P75" i="11"/>
  <c r="O75" i="11"/>
  <c r="M75" i="11"/>
  <c r="K75" i="11"/>
  <c r="F75" i="11"/>
  <c r="E75" i="11"/>
  <c r="AE6" i="11"/>
  <c r="W6" i="11"/>
  <c r="AE13" i="11"/>
  <c r="AD13" i="11"/>
  <c r="AB13" i="11"/>
  <c r="W13" i="11"/>
  <c r="T13" i="11"/>
  <c r="R13" i="11"/>
  <c r="I13" i="11"/>
  <c r="F13" i="11"/>
  <c r="E13" i="11"/>
  <c r="AD76" i="11"/>
  <c r="AF76" i="11"/>
  <c r="AE76" i="11"/>
  <c r="AC76" i="11"/>
  <c r="AB76" i="11"/>
  <c r="AA76" i="11"/>
  <c r="Z76" i="11"/>
  <c r="Y76" i="11"/>
  <c r="X76" i="11"/>
  <c r="W76" i="11"/>
  <c r="S76" i="11"/>
  <c r="Q76" i="11"/>
  <c r="P76" i="11"/>
  <c r="O76" i="11"/>
  <c r="K76" i="11"/>
  <c r="I76" i="11"/>
  <c r="H76" i="11"/>
  <c r="G76" i="11"/>
  <c r="F76" i="11"/>
  <c r="E76" i="11"/>
  <c r="AD89" i="11"/>
  <c r="AB89" i="11"/>
  <c r="T89" i="11"/>
  <c r="S89" i="11"/>
  <c r="R89" i="11"/>
  <c r="Q89" i="11"/>
  <c r="P89" i="11"/>
  <c r="O89" i="11"/>
  <c r="H89" i="11"/>
  <c r="E89" i="11"/>
  <c r="AF27" i="11"/>
  <c r="AE27" i="11"/>
  <c r="AD27" i="11"/>
  <c r="AB27" i="11"/>
  <c r="Y27" i="11"/>
  <c r="Z27" i="11"/>
  <c r="AA27" i="11"/>
  <c r="X27" i="11"/>
  <c r="W27" i="11"/>
  <c r="T27" i="11"/>
  <c r="S27" i="11"/>
  <c r="R27" i="11"/>
  <c r="Q27" i="11"/>
  <c r="P27" i="11"/>
  <c r="O27" i="11"/>
  <c r="I27" i="11"/>
  <c r="H27" i="11"/>
  <c r="G27" i="11"/>
  <c r="F27" i="11"/>
  <c r="E27" i="11"/>
  <c r="AD7" i="11"/>
  <c r="AE7" i="11"/>
  <c r="AC7" i="11"/>
  <c r="AB7" i="11"/>
  <c r="W7" i="11"/>
  <c r="S7" i="11"/>
  <c r="Q7" i="11"/>
  <c r="O7" i="11"/>
  <c r="N7" i="11"/>
  <c r="M7" i="11"/>
  <c r="L7" i="11"/>
  <c r="K7" i="11"/>
  <c r="I7" i="11"/>
  <c r="F7" i="11"/>
  <c r="E7" i="11"/>
  <c r="AB10" i="11"/>
  <c r="F10" i="11"/>
  <c r="E10" i="11"/>
  <c r="AD87" i="11"/>
  <c r="AB87" i="11"/>
  <c r="T87" i="11"/>
  <c r="S87" i="11"/>
  <c r="R87" i="11"/>
  <c r="Q87" i="11"/>
  <c r="P87" i="11"/>
  <c r="O87" i="11"/>
  <c r="I87" i="11"/>
  <c r="H87" i="11"/>
  <c r="G87" i="11"/>
  <c r="F87" i="11"/>
  <c r="E87" i="11"/>
  <c r="AE53" i="11"/>
  <c r="AD53" i="11"/>
  <c r="AB53" i="11"/>
  <c r="W53" i="11"/>
  <c r="T53" i="11"/>
  <c r="P53" i="11"/>
  <c r="J53" i="11"/>
  <c r="I53" i="11"/>
  <c r="H53" i="11"/>
  <c r="G53" i="11"/>
  <c r="F53" i="11"/>
  <c r="E53" i="11"/>
  <c r="AF14" i="11"/>
  <c r="AD14" i="11"/>
  <c r="AC14" i="11"/>
  <c r="AB14" i="11"/>
  <c r="AA14" i="11"/>
  <c r="Z14" i="11"/>
  <c r="Y14" i="11"/>
  <c r="X14" i="11"/>
  <c r="T14" i="11"/>
  <c r="S14" i="11"/>
  <c r="R14" i="11"/>
  <c r="Q14" i="11"/>
  <c r="P14" i="11"/>
  <c r="N14" i="11"/>
  <c r="M14" i="11"/>
  <c r="L14" i="11"/>
  <c r="K14" i="11"/>
  <c r="I14" i="11"/>
  <c r="F14" i="11"/>
  <c r="E14" i="11"/>
  <c r="T34" i="11"/>
  <c r="R34" i="11"/>
  <c r="P34" i="11"/>
  <c r="AE11" i="11"/>
  <c r="W11" i="11"/>
  <c r="G11" i="11"/>
  <c r="F11" i="11"/>
  <c r="AE18" i="11"/>
  <c r="AD18" i="11"/>
  <c r="AB18" i="11"/>
  <c r="W18" i="11"/>
  <c r="T18" i="11"/>
  <c r="I18" i="11"/>
  <c r="H18" i="11"/>
  <c r="F18" i="11"/>
  <c r="E18" i="11"/>
  <c r="AC23" i="11"/>
  <c r="AD23" i="11"/>
  <c r="AB23" i="11"/>
  <c r="Q23" i="11"/>
  <c r="O23" i="11"/>
  <c r="M23" i="11"/>
  <c r="K23" i="11"/>
  <c r="I23" i="11"/>
  <c r="G23" i="11"/>
  <c r="F23" i="11"/>
  <c r="E23" i="11"/>
  <c r="AE9" i="11"/>
  <c r="W9" i="11"/>
  <c r="T76" i="11"/>
  <c r="R76" i="11"/>
  <c r="M76" i="11"/>
  <c r="P13" i="11"/>
  <c r="AF70" i="11"/>
  <c r="AE70" i="11"/>
  <c r="AD70" i="11"/>
  <c r="AB70" i="11"/>
  <c r="AA70" i="11"/>
  <c r="Z70" i="11"/>
  <c r="Y70" i="11"/>
  <c r="X70" i="11"/>
  <c r="W70" i="11"/>
  <c r="T70" i="11"/>
  <c r="S70" i="11"/>
  <c r="R70" i="11"/>
  <c r="Q70" i="11"/>
  <c r="P70" i="11"/>
  <c r="O70" i="11"/>
  <c r="G70" i="11"/>
  <c r="AE58" i="11"/>
  <c r="AD58" i="11"/>
  <c r="AB58" i="11"/>
  <c r="W58" i="11"/>
  <c r="Q58" i="11"/>
  <c r="O58" i="11"/>
  <c r="F58" i="11"/>
  <c r="E58" i="11"/>
  <c r="H33" i="11"/>
  <c r="AF77" i="11"/>
  <c r="AE77" i="11"/>
  <c r="AD77" i="11"/>
  <c r="AB77" i="11"/>
  <c r="Y77" i="11"/>
  <c r="Z77" i="11"/>
  <c r="X77" i="11"/>
  <c r="W77" i="11"/>
  <c r="T77" i="11"/>
  <c r="S77" i="11"/>
  <c r="R77" i="11"/>
  <c r="Q77" i="11"/>
  <c r="P77" i="11"/>
  <c r="O77" i="11"/>
  <c r="I77" i="11"/>
  <c r="F77" i="11"/>
  <c r="AF78" i="11"/>
  <c r="AC78" i="11"/>
  <c r="AD78" i="11"/>
  <c r="AB78" i="11"/>
  <c r="Z78" i="11"/>
  <c r="Y78" i="11"/>
  <c r="X78" i="11"/>
  <c r="T78" i="11"/>
  <c r="S78" i="11"/>
  <c r="R78" i="11"/>
  <c r="Q78" i="11"/>
  <c r="P78" i="11"/>
  <c r="O78" i="11"/>
  <c r="M78" i="11"/>
  <c r="K78" i="11"/>
  <c r="I78" i="11"/>
  <c r="E78" i="11"/>
  <c r="AE67" i="11"/>
  <c r="AD67" i="11"/>
  <c r="AB67" i="11"/>
  <c r="W67" i="11"/>
  <c r="T67" i="11"/>
  <c r="R67" i="11"/>
  <c r="Q67" i="11"/>
  <c r="P67" i="11"/>
  <c r="O67" i="11"/>
  <c r="F67" i="11"/>
  <c r="E67" i="11"/>
  <c r="AE72" i="11"/>
  <c r="AB72" i="11"/>
  <c r="W72" i="11"/>
  <c r="I72" i="11"/>
  <c r="G72" i="11"/>
  <c r="F72" i="11"/>
  <c r="E72" i="11"/>
  <c r="T7" i="11"/>
  <c r="R7" i="11"/>
  <c r="P7" i="11"/>
  <c r="AG51" i="11"/>
  <c r="AE8" i="11"/>
  <c r="W8" i="11"/>
  <c r="S8" i="11"/>
  <c r="AF30" i="11"/>
  <c r="AE30" i="11"/>
  <c r="AD30" i="11"/>
  <c r="AB30" i="11"/>
  <c r="AA30" i="11"/>
  <c r="W30" i="11"/>
  <c r="P30" i="11"/>
  <c r="Q30" i="11"/>
  <c r="R30" i="11"/>
  <c r="O30" i="11"/>
  <c r="G30" i="11"/>
  <c r="F30" i="11"/>
  <c r="E30" i="11"/>
  <c r="AC18" i="11"/>
  <c r="R18" i="11"/>
  <c r="Q18" i="11"/>
  <c r="P18" i="11"/>
  <c r="O18" i="11"/>
  <c r="M18" i="11"/>
  <c r="K18" i="11"/>
  <c r="G18" i="11"/>
  <c r="T40" i="11"/>
  <c r="R40" i="11"/>
  <c r="Q40" i="11"/>
  <c r="O40" i="11"/>
  <c r="G40" i="11"/>
  <c r="F40" i="11"/>
  <c r="AD36" i="11"/>
  <c r="AF36" i="11"/>
  <c r="AE36" i="11"/>
  <c r="AB36" i="11"/>
  <c r="Y36" i="11"/>
  <c r="Z36" i="11"/>
  <c r="AA36" i="11"/>
  <c r="X36" i="11"/>
  <c r="W36" i="11"/>
  <c r="T36" i="11"/>
  <c r="S36" i="11"/>
  <c r="R36" i="11"/>
  <c r="Q36" i="11"/>
  <c r="P36" i="11"/>
  <c r="O36" i="11"/>
  <c r="I36" i="11"/>
  <c r="G36" i="11"/>
  <c r="F36" i="11"/>
  <c r="E36" i="11"/>
  <c r="AC17" i="11"/>
  <c r="L17" i="11"/>
  <c r="M17" i="11"/>
  <c r="N17" i="11"/>
  <c r="K17" i="11"/>
  <c r="T16" i="11"/>
  <c r="R16" i="11"/>
  <c r="Q16" i="11"/>
  <c r="P16" i="11"/>
  <c r="O16" i="11"/>
  <c r="M5" i="11"/>
  <c r="AC12" i="11"/>
  <c r="AE12" i="11"/>
  <c r="W12" i="11"/>
  <c r="S12" i="11"/>
  <c r="N12" i="11"/>
  <c r="L12" i="11"/>
  <c r="N76" i="11"/>
  <c r="L76" i="11"/>
  <c r="AD83" i="11"/>
  <c r="AB83" i="11"/>
  <c r="T83" i="11"/>
  <c r="R83" i="11"/>
  <c r="Q83" i="11"/>
  <c r="P83" i="11"/>
  <c r="O83" i="11"/>
  <c r="I83" i="11"/>
  <c r="E83" i="11"/>
  <c r="S13" i="11"/>
  <c r="Q13" i="11"/>
  <c r="O13" i="11"/>
  <c r="AD74" i="11"/>
  <c r="AC74" i="11"/>
  <c r="AB74" i="11"/>
  <c r="S74" i="11"/>
  <c r="Q74" i="11"/>
  <c r="O74" i="11"/>
  <c r="N74" i="11"/>
  <c r="M74" i="11"/>
  <c r="L74" i="11"/>
  <c r="K74" i="11"/>
  <c r="J74" i="11"/>
  <c r="I74" i="11"/>
  <c r="F74" i="11"/>
  <c r="E74" i="11"/>
  <c r="AC32" i="11"/>
  <c r="AD32" i="11"/>
  <c r="AB32" i="11"/>
  <c r="T32" i="11"/>
  <c r="S32" i="11"/>
  <c r="R32" i="11"/>
  <c r="Q32" i="11"/>
  <c r="P32" i="11"/>
  <c r="O32" i="11"/>
  <c r="L32" i="11"/>
  <c r="M32" i="11"/>
  <c r="N32" i="11"/>
  <c r="K32" i="11"/>
  <c r="I32" i="11"/>
  <c r="G32" i="11"/>
  <c r="E32" i="11"/>
  <c r="Q15" i="11"/>
  <c r="O15" i="11"/>
  <c r="AC64" i="11"/>
  <c r="AE64" i="11"/>
  <c r="AD64" i="11"/>
  <c r="AB64" i="11"/>
  <c r="W64" i="11"/>
  <c r="T64" i="11"/>
  <c r="R64" i="11"/>
  <c r="Q64" i="11"/>
  <c r="P64" i="11"/>
  <c r="O64" i="11"/>
  <c r="M64" i="11"/>
  <c r="K64" i="11"/>
  <c r="F64" i="11"/>
  <c r="E64" i="11"/>
  <c r="AE65" i="11"/>
  <c r="AD65" i="11"/>
  <c r="AB65" i="11"/>
  <c r="W65" i="11"/>
  <c r="T65" i="11"/>
  <c r="S65" i="11"/>
  <c r="R65" i="11"/>
  <c r="Q65" i="11"/>
  <c r="P65" i="11"/>
  <c r="O65" i="11"/>
  <c r="J65" i="11"/>
  <c r="I65" i="11"/>
  <c r="F65" i="11"/>
  <c r="E65" i="11"/>
  <c r="AB31" i="11"/>
  <c r="F31" i="11"/>
  <c r="E31" i="11"/>
  <c r="T23" i="11"/>
  <c r="S33" i="11"/>
  <c r="AC20" i="11"/>
  <c r="S20" i="11"/>
  <c r="Q20" i="11"/>
  <c r="O20" i="11"/>
  <c r="M20" i="11"/>
  <c r="K20" i="11"/>
  <c r="S18" i="11"/>
  <c r="AF85" i="11"/>
  <c r="AD85" i="11"/>
  <c r="AC85" i="11"/>
  <c r="AB85" i="11"/>
  <c r="Y85" i="11"/>
  <c r="Z85" i="11"/>
  <c r="AA85" i="11"/>
  <c r="X85" i="11"/>
  <c r="T85" i="11"/>
  <c r="S85" i="11"/>
  <c r="R85" i="11"/>
  <c r="Q85" i="11"/>
  <c r="P85" i="11"/>
  <c r="O85" i="11"/>
  <c r="N85" i="11"/>
  <c r="M85" i="11"/>
  <c r="L85" i="11"/>
  <c r="K85" i="11"/>
  <c r="G85" i="11"/>
  <c r="F85" i="11"/>
  <c r="E85" i="11"/>
  <c r="AF46" i="11"/>
  <c r="AE46" i="11"/>
  <c r="AD46" i="11"/>
  <c r="AC46" i="11"/>
  <c r="AB46" i="11"/>
  <c r="Y46" i="11"/>
  <c r="Z46" i="11"/>
  <c r="AA46" i="11"/>
  <c r="X46" i="11"/>
  <c r="W46" i="11"/>
  <c r="T46" i="11"/>
  <c r="S46" i="11"/>
  <c r="R46" i="11"/>
  <c r="Q46" i="11"/>
  <c r="P46" i="11"/>
  <c r="O46" i="11"/>
  <c r="M46" i="11"/>
  <c r="L46" i="11"/>
  <c r="K46" i="11"/>
  <c r="E46" i="11"/>
  <c r="AE29" i="11"/>
  <c r="W29" i="11"/>
  <c r="AC27" i="11"/>
  <c r="L27" i="11"/>
  <c r="M27" i="11"/>
  <c r="N27" i="11"/>
  <c r="K27" i="11"/>
  <c r="AD43" i="11"/>
  <c r="AB43" i="11"/>
  <c r="T43" i="11"/>
  <c r="S43" i="11"/>
  <c r="R43" i="11"/>
  <c r="Q43" i="11"/>
  <c r="P43" i="11"/>
  <c r="O43" i="11"/>
  <c r="G43" i="11"/>
  <c r="F43" i="11"/>
  <c r="E43" i="11"/>
  <c r="Z29" i="10"/>
  <c r="Y29" i="10"/>
  <c r="W29" i="10"/>
  <c r="T29" i="10"/>
  <c r="S29" i="10"/>
  <c r="P29" i="10"/>
  <c r="N29" i="10"/>
  <c r="M29" i="10"/>
  <c r="L29" i="10"/>
  <c r="K29" i="10"/>
  <c r="I29" i="10"/>
  <c r="H29" i="10"/>
  <c r="F29" i="10"/>
  <c r="E29" i="10"/>
  <c r="AB69" i="11" l="1"/>
  <c r="N69" i="11"/>
  <c r="M69" i="11"/>
  <c r="K69" i="11"/>
  <c r="I69" i="11"/>
  <c r="F69" i="11"/>
  <c r="E69" i="11"/>
  <c r="AA28" i="11"/>
  <c r="Q28" i="11"/>
  <c r="S28" i="11"/>
  <c r="O28" i="11"/>
  <c r="AE14" i="11"/>
  <c r="O14" i="11"/>
  <c r="R53" i="11"/>
  <c r="Q53" i="11"/>
  <c r="O53" i="11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82" i="10"/>
  <c r="AE82" i="10"/>
  <c r="AC82" i="10"/>
  <c r="AD82" i="10"/>
  <c r="AB82" i="10"/>
  <c r="S91" i="11" l="1"/>
  <c r="AG89" i="11"/>
  <c r="I89" i="11"/>
  <c r="F89" i="11"/>
  <c r="E91" i="11"/>
  <c r="AD91" i="11"/>
  <c r="AC41" i="11"/>
  <c r="T91" i="11"/>
  <c r="N41" i="11"/>
  <c r="M41" i="11"/>
  <c r="L41" i="11"/>
  <c r="K41" i="11"/>
  <c r="K91" i="11" s="1"/>
  <c r="G41" i="11"/>
  <c r="G91" i="11" s="1"/>
  <c r="O91" i="11"/>
  <c r="AG90" i="11"/>
  <c r="AG88" i="11"/>
  <c r="AG87" i="11"/>
  <c r="AG85" i="11"/>
  <c r="AG84" i="11"/>
  <c r="AG83" i="11"/>
  <c r="AG82" i="11"/>
  <c r="AG81" i="11"/>
  <c r="AG80" i="11"/>
  <c r="AG79" i="11"/>
  <c r="AG78" i="11"/>
  <c r="AG77" i="11"/>
  <c r="AG76" i="11"/>
  <c r="AG75" i="11"/>
  <c r="AG74" i="11"/>
  <c r="AG73" i="11"/>
  <c r="AG72" i="11"/>
  <c r="AG71" i="11"/>
  <c r="AG70" i="11"/>
  <c r="AG69" i="11"/>
  <c r="AG68" i="11"/>
  <c r="AG67" i="11"/>
  <c r="AG66" i="11"/>
  <c r="AG65" i="11"/>
  <c r="AG64" i="11"/>
  <c r="AG63" i="11"/>
  <c r="J91" i="11"/>
  <c r="AG62" i="11"/>
  <c r="AG61" i="11"/>
  <c r="AG60" i="11"/>
  <c r="AG59" i="11"/>
  <c r="AG58" i="11"/>
  <c r="AG57" i="11"/>
  <c r="AG55" i="11"/>
  <c r="AG54" i="11"/>
  <c r="AG53" i="11"/>
  <c r="AG52" i="11"/>
  <c r="AG50" i="11"/>
  <c r="AG49" i="11"/>
  <c r="AG48" i="11"/>
  <c r="AG47" i="11"/>
  <c r="AG46" i="11"/>
  <c r="AG45" i="11"/>
  <c r="AG44" i="11"/>
  <c r="AG43" i="11"/>
  <c r="AG42" i="11"/>
  <c r="AG40" i="11"/>
  <c r="AG39" i="11"/>
  <c r="AG38" i="11"/>
  <c r="AG37" i="11"/>
  <c r="AG36" i="11"/>
  <c r="AG35" i="11"/>
  <c r="AG34" i="11"/>
  <c r="AG33" i="11"/>
  <c r="AG32" i="11"/>
  <c r="AG31" i="11"/>
  <c r="AG30" i="11"/>
  <c r="X91" i="11"/>
  <c r="AG29" i="11"/>
  <c r="AG28" i="11"/>
  <c r="AG27" i="11"/>
  <c r="AG26" i="11"/>
  <c r="AG25" i="11"/>
  <c r="AG24" i="11"/>
  <c r="AG23" i="11"/>
  <c r="AG22" i="11"/>
  <c r="AG21" i="11"/>
  <c r="AG20" i="11"/>
  <c r="U91" i="11"/>
  <c r="AG19" i="11"/>
  <c r="AG18" i="11"/>
  <c r="AG17" i="11"/>
  <c r="AG16" i="11"/>
  <c r="AG15" i="11"/>
  <c r="AF91" i="11"/>
  <c r="AG14" i="11"/>
  <c r="AG13" i="11"/>
  <c r="AG12" i="11"/>
  <c r="AG11" i="11"/>
  <c r="AG10" i="11"/>
  <c r="AG9" i="11"/>
  <c r="AG8" i="11"/>
  <c r="AA91" i="11"/>
  <c r="Z91" i="11"/>
  <c r="Y91" i="11"/>
  <c r="H91" i="11"/>
  <c r="AG7" i="11"/>
  <c r="AE91" i="11"/>
  <c r="W91" i="11"/>
  <c r="P91" i="11"/>
  <c r="AC11" i="10"/>
  <c r="AB11" i="10"/>
  <c r="AA11" i="10"/>
  <c r="T11" i="10"/>
  <c r="S11" i="10"/>
  <c r="R11" i="10"/>
  <c r="Q11" i="10"/>
  <c r="P11" i="10"/>
  <c r="O11" i="10"/>
  <c r="M11" i="10"/>
  <c r="K11" i="10"/>
  <c r="I11" i="10"/>
  <c r="F11" i="10"/>
  <c r="E11" i="10"/>
  <c r="AA76" i="10"/>
  <c r="J76" i="10"/>
  <c r="I76" i="10"/>
  <c r="H76" i="10"/>
  <c r="G76" i="10"/>
  <c r="AA9" i="10"/>
  <c r="AC9" i="10"/>
  <c r="T9" i="10"/>
  <c r="R9" i="10"/>
  <c r="P9" i="10"/>
  <c r="I9" i="10"/>
  <c r="F9" i="10"/>
  <c r="E9" i="10"/>
  <c r="AC90" i="10"/>
  <c r="AB90" i="10"/>
  <c r="AA90" i="10"/>
  <c r="T90" i="10"/>
  <c r="S90" i="10"/>
  <c r="R90" i="10"/>
  <c r="P90" i="10"/>
  <c r="O90" i="10"/>
  <c r="I90" i="10"/>
  <c r="G90" i="10"/>
  <c r="F90" i="10"/>
  <c r="E90" i="10"/>
  <c r="AC37" i="10"/>
  <c r="AA37" i="10"/>
  <c r="T37" i="10"/>
  <c r="S37" i="10"/>
  <c r="R37" i="10"/>
  <c r="Q37" i="10"/>
  <c r="P37" i="10"/>
  <c r="O37" i="10"/>
  <c r="I37" i="10"/>
  <c r="F37" i="10"/>
  <c r="E37" i="10"/>
  <c r="AB74" i="10"/>
  <c r="N74" i="10"/>
  <c r="L74" i="10"/>
  <c r="AB29" i="10"/>
  <c r="AE29" i="10"/>
  <c r="AC29" i="10"/>
  <c r="AA29" i="10"/>
  <c r="AD13" i="10"/>
  <c r="AC13" i="10"/>
  <c r="AB13" i="10"/>
  <c r="AA13" i="10"/>
  <c r="V13" i="10"/>
  <c r="T13" i="10"/>
  <c r="S13" i="10"/>
  <c r="R13" i="10"/>
  <c r="Q13" i="10"/>
  <c r="P13" i="10"/>
  <c r="O13" i="10"/>
  <c r="N13" i="10"/>
  <c r="L13" i="10"/>
  <c r="I13" i="10"/>
  <c r="G13" i="10"/>
  <c r="F13" i="10"/>
  <c r="E13" i="10"/>
  <c r="AD5" i="10"/>
  <c r="AB5" i="10"/>
  <c r="AA5" i="10"/>
  <c r="V5" i="10"/>
  <c r="M5" i="10"/>
  <c r="L5" i="10"/>
  <c r="K5" i="10"/>
  <c r="I5" i="10"/>
  <c r="G5" i="10"/>
  <c r="F5" i="10"/>
  <c r="E5" i="10"/>
  <c r="AD91" i="10"/>
  <c r="AB91" i="10"/>
  <c r="AA91" i="10"/>
  <c r="V91" i="10"/>
  <c r="L91" i="10"/>
  <c r="I91" i="10"/>
  <c r="F91" i="10"/>
  <c r="E91" i="10"/>
  <c r="AF48" i="10"/>
  <c r="AA6" i="10"/>
  <c r="I6" i="10"/>
  <c r="F6" i="10"/>
  <c r="E6" i="10"/>
  <c r="AF68" i="10"/>
  <c r="AC35" i="10"/>
  <c r="AA35" i="10"/>
  <c r="T35" i="10"/>
  <c r="R35" i="10"/>
  <c r="Q35" i="10"/>
  <c r="P35" i="10"/>
  <c r="O35" i="10"/>
  <c r="I35" i="10"/>
  <c r="F35" i="10"/>
  <c r="E35" i="10"/>
  <c r="AF53" i="10"/>
  <c r="AC75" i="10"/>
  <c r="AE75" i="10"/>
  <c r="AA75" i="10"/>
  <c r="Y75" i="10"/>
  <c r="X75" i="10"/>
  <c r="W75" i="10"/>
  <c r="T75" i="10"/>
  <c r="R75" i="10"/>
  <c r="P75" i="10"/>
  <c r="G75" i="10"/>
  <c r="F75" i="10"/>
  <c r="AE36" i="10"/>
  <c r="AC36" i="10"/>
  <c r="AA36" i="10"/>
  <c r="X36" i="10"/>
  <c r="Y36" i="10"/>
  <c r="Z36" i="10"/>
  <c r="W36" i="10"/>
  <c r="T36" i="10"/>
  <c r="S36" i="10"/>
  <c r="R36" i="10"/>
  <c r="I36" i="10"/>
  <c r="G36" i="10"/>
  <c r="F36" i="10"/>
  <c r="E36" i="10"/>
  <c r="AC43" i="10"/>
  <c r="AA43" i="10"/>
  <c r="Z43" i="10"/>
  <c r="Y43" i="10"/>
  <c r="X43" i="10"/>
  <c r="W43" i="10"/>
  <c r="T43" i="10"/>
  <c r="R43" i="10"/>
  <c r="Q43" i="10"/>
  <c r="P43" i="10"/>
  <c r="O43" i="10"/>
  <c r="G43" i="10"/>
  <c r="F43" i="10"/>
  <c r="AC20" i="10"/>
  <c r="AA20" i="10"/>
  <c r="U20" i="10"/>
  <c r="T20" i="10"/>
  <c r="S20" i="10"/>
  <c r="R20" i="10"/>
  <c r="Q20" i="10"/>
  <c r="O20" i="10"/>
  <c r="I20" i="10"/>
  <c r="G20" i="10"/>
  <c r="F20" i="10"/>
  <c r="AA7" i="10"/>
  <c r="I7" i="10"/>
  <c r="F7" i="10"/>
  <c r="E7" i="10"/>
  <c r="AD6" i="10"/>
  <c r="AC6" i="10"/>
  <c r="V6" i="10"/>
  <c r="T6" i="10"/>
  <c r="S6" i="10"/>
  <c r="R6" i="10"/>
  <c r="Q6" i="10"/>
  <c r="O6" i="10"/>
  <c r="AC91" i="11" l="1"/>
  <c r="N91" i="11"/>
  <c r="M91" i="11"/>
  <c r="L91" i="11"/>
  <c r="AG41" i="11"/>
  <c r="R91" i="11"/>
  <c r="Q91" i="11"/>
  <c r="AG5" i="11"/>
  <c r="I91" i="11"/>
  <c r="F91" i="11"/>
  <c r="AG6" i="11"/>
  <c r="AB91" i="11"/>
  <c r="AD15" i="10"/>
  <c r="AC15" i="10"/>
  <c r="AA15" i="10"/>
  <c r="AF15" i="10" s="1"/>
  <c r="V15" i="10"/>
  <c r="T15" i="10"/>
  <c r="S15" i="10"/>
  <c r="R15" i="10"/>
  <c r="Q15" i="10"/>
  <c r="P15" i="10"/>
  <c r="O15" i="10"/>
  <c r="I15" i="10"/>
  <c r="G15" i="10"/>
  <c r="F15" i="10"/>
  <c r="E15" i="10"/>
  <c r="AC19" i="10"/>
  <c r="AD19" i="10"/>
  <c r="AB19" i="10"/>
  <c r="AA19" i="10"/>
  <c r="V19" i="10"/>
  <c r="T19" i="10"/>
  <c r="R19" i="10"/>
  <c r="P19" i="10"/>
  <c r="O19" i="10"/>
  <c r="N19" i="10"/>
  <c r="L19" i="10"/>
  <c r="K19" i="10"/>
  <c r="I19" i="10"/>
  <c r="G19" i="10"/>
  <c r="F19" i="10"/>
  <c r="E19" i="10"/>
  <c r="AC21" i="10"/>
  <c r="AD21" i="10"/>
  <c r="AB21" i="10"/>
  <c r="AA21" i="10"/>
  <c r="V21" i="10"/>
  <c r="T21" i="10"/>
  <c r="S21" i="10"/>
  <c r="P21" i="10"/>
  <c r="Q21" i="10"/>
  <c r="O21" i="10"/>
  <c r="K21" i="10"/>
  <c r="F21" i="10"/>
  <c r="AC27" i="10"/>
  <c r="AA27" i="10"/>
  <c r="U27" i="10"/>
  <c r="T27" i="10"/>
  <c r="S27" i="10"/>
  <c r="R27" i="10"/>
  <c r="Q27" i="10"/>
  <c r="P27" i="10"/>
  <c r="O27" i="10"/>
  <c r="I27" i="10"/>
  <c r="H27" i="10"/>
  <c r="G27" i="10"/>
  <c r="F27" i="10"/>
  <c r="E27" i="10"/>
  <c r="AA80" i="10"/>
  <c r="AE80" i="10"/>
  <c r="AC80" i="10"/>
  <c r="AB80" i="10"/>
  <c r="U80" i="10"/>
  <c r="T80" i="10"/>
  <c r="S80" i="10"/>
  <c r="R80" i="10"/>
  <c r="Q80" i="10"/>
  <c r="P80" i="10"/>
  <c r="O80" i="10"/>
  <c r="N80" i="10"/>
  <c r="L80" i="10"/>
  <c r="K80" i="10"/>
  <c r="I80" i="10"/>
  <c r="G80" i="10"/>
  <c r="F80" i="10"/>
  <c r="E80" i="10"/>
  <c r="AF47" i="10"/>
  <c r="AD18" i="10"/>
  <c r="AC18" i="10"/>
  <c r="AA18" i="10"/>
  <c r="V18" i="10"/>
  <c r="T18" i="10"/>
  <c r="S18" i="10"/>
  <c r="R18" i="10"/>
  <c r="Q18" i="10"/>
  <c r="P18" i="10"/>
  <c r="O18" i="10"/>
  <c r="I18" i="10"/>
  <c r="E18" i="10"/>
  <c r="AE77" i="10"/>
  <c r="AC77" i="10"/>
  <c r="AB77" i="10"/>
  <c r="AA77" i="10"/>
  <c r="Z77" i="10"/>
  <c r="Y77" i="10"/>
  <c r="W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F77" i="10"/>
  <c r="E77" i="10"/>
  <c r="AD78" i="10"/>
  <c r="AC78" i="10"/>
  <c r="AA78" i="10"/>
  <c r="U78" i="10"/>
  <c r="V78" i="10"/>
  <c r="S78" i="10"/>
  <c r="Q78" i="10"/>
  <c r="O78" i="10"/>
  <c r="F78" i="10"/>
  <c r="E78" i="10"/>
  <c r="AC5" i="10"/>
  <c r="T5" i="10"/>
  <c r="S5" i="10"/>
  <c r="R5" i="10"/>
  <c r="Q5" i="10"/>
  <c r="P5" i="10"/>
  <c r="O5" i="10"/>
  <c r="AE8" i="10"/>
  <c r="AC8" i="10"/>
  <c r="AA8" i="10"/>
  <c r="Z8" i="10"/>
  <c r="Y8" i="10"/>
  <c r="X8" i="10"/>
  <c r="W8" i="10"/>
  <c r="T8" i="10"/>
  <c r="S8" i="10"/>
  <c r="R8" i="10"/>
  <c r="Q8" i="10"/>
  <c r="P8" i="10"/>
  <c r="O8" i="10"/>
  <c r="I8" i="10"/>
  <c r="H8" i="10"/>
  <c r="F8" i="10"/>
  <c r="E8" i="10"/>
  <c r="AB37" i="10"/>
  <c r="M37" i="10"/>
  <c r="K37" i="10"/>
  <c r="G37" i="10"/>
  <c r="AD9" i="10"/>
  <c r="V9" i="10"/>
  <c r="Q9" i="10"/>
  <c r="O9" i="10"/>
  <c r="Q90" i="10"/>
  <c r="H90" i="10"/>
  <c r="P6" i="10"/>
  <c r="AC88" i="10"/>
  <c r="AD88" i="10"/>
  <c r="AE88" i="10"/>
  <c r="AA88" i="10"/>
  <c r="X88" i="10"/>
  <c r="Y88" i="10"/>
  <c r="Z88" i="10"/>
  <c r="W88" i="10"/>
  <c r="V88" i="10"/>
  <c r="T88" i="10"/>
  <c r="S88" i="10"/>
  <c r="R88" i="10"/>
  <c r="Q88" i="10"/>
  <c r="P88" i="10"/>
  <c r="O88" i="10"/>
  <c r="G88" i="10"/>
  <c r="E88" i="10"/>
  <c r="AC10" i="10"/>
  <c r="AA10" i="10"/>
  <c r="T10" i="10"/>
  <c r="S10" i="10"/>
  <c r="R10" i="10"/>
  <c r="Q10" i="10"/>
  <c r="P10" i="10"/>
  <c r="O10" i="10"/>
  <c r="I10" i="10"/>
  <c r="F10" i="10"/>
  <c r="E10" i="10"/>
  <c r="AD29" i="10"/>
  <c r="X29" i="10"/>
  <c r="V29" i="10"/>
  <c r="AC74" i="10"/>
  <c r="AD74" i="10"/>
  <c r="Z74" i="10"/>
  <c r="Y74" i="10"/>
  <c r="X74" i="10"/>
  <c r="W74" i="10"/>
  <c r="V74" i="10"/>
  <c r="T74" i="10"/>
  <c r="R74" i="10"/>
  <c r="P74" i="10"/>
  <c r="M74" i="10"/>
  <c r="K74" i="10"/>
  <c r="AE23" i="10"/>
  <c r="AD23" i="10"/>
  <c r="AC23" i="10"/>
  <c r="AA23" i="10"/>
  <c r="W23" i="10"/>
  <c r="X23" i="10"/>
  <c r="Y23" i="10"/>
  <c r="Z23" i="10"/>
  <c r="V23" i="10"/>
  <c r="T23" i="10"/>
  <c r="R23" i="10"/>
  <c r="P23" i="10"/>
  <c r="G23" i="10"/>
  <c r="F23" i="10"/>
  <c r="E23" i="10"/>
  <c r="AD37" i="10"/>
  <c r="V37" i="10"/>
  <c r="AE72" i="10"/>
  <c r="AF72" i="10" s="1"/>
  <c r="AC72" i="10"/>
  <c r="X72" i="10"/>
  <c r="Y72" i="10"/>
  <c r="Z72" i="10"/>
  <c r="W72" i="10"/>
  <c r="T72" i="10"/>
  <c r="R72" i="10"/>
  <c r="P72" i="10"/>
  <c r="S35" i="10"/>
  <c r="H35" i="10"/>
  <c r="X82" i="10"/>
  <c r="Y82" i="10"/>
  <c r="Z82" i="10"/>
  <c r="W82" i="10"/>
  <c r="V82" i="10"/>
  <c r="T82" i="10"/>
  <c r="S82" i="10"/>
  <c r="R82" i="10"/>
  <c r="Q82" i="10"/>
  <c r="P82" i="10"/>
  <c r="O82" i="10"/>
  <c r="L82" i="10"/>
  <c r="I82" i="10"/>
  <c r="F82" i="10"/>
  <c r="E82" i="10"/>
  <c r="AE85" i="10"/>
  <c r="AC85" i="10"/>
  <c r="AA85" i="10"/>
  <c r="X85" i="10"/>
  <c r="Y85" i="10"/>
  <c r="Z85" i="10"/>
  <c r="W85" i="10"/>
  <c r="T85" i="10"/>
  <c r="S85" i="10"/>
  <c r="R85" i="10"/>
  <c r="Q85" i="10"/>
  <c r="P85" i="10"/>
  <c r="O85" i="10"/>
  <c r="H85" i="10"/>
  <c r="F85" i="10"/>
  <c r="E85" i="10"/>
  <c r="Y81" i="9"/>
  <c r="D81" i="9"/>
  <c r="AD55" i="10"/>
  <c r="AC55" i="10"/>
  <c r="AA55" i="10"/>
  <c r="V55" i="10"/>
  <c r="T55" i="10"/>
  <c r="S55" i="10"/>
  <c r="R55" i="10"/>
  <c r="Q55" i="10"/>
  <c r="P55" i="10"/>
  <c r="O55" i="10"/>
  <c r="F55" i="10"/>
  <c r="E55" i="10"/>
  <c r="AB92" i="10"/>
  <c r="AD92" i="10"/>
  <c r="AC92" i="10"/>
  <c r="AA92" i="10"/>
  <c r="X92" i="10"/>
  <c r="Y92" i="10"/>
  <c r="Z92" i="10"/>
  <c r="W92" i="10"/>
  <c r="T92" i="10"/>
  <c r="S92" i="10"/>
  <c r="R92" i="10"/>
  <c r="Q92" i="10"/>
  <c r="P92" i="10"/>
  <c r="O92" i="10"/>
  <c r="L92" i="10"/>
  <c r="K92" i="10"/>
  <c r="I92" i="10"/>
  <c r="H92" i="10"/>
  <c r="F92" i="10"/>
  <c r="E92" i="10"/>
  <c r="AB34" i="10"/>
  <c r="AD34" i="10"/>
  <c r="AC34" i="10"/>
  <c r="AA34" i="10"/>
  <c r="N5" i="10"/>
  <c r="AA83" i="10"/>
  <c r="AF83" i="10" s="1"/>
  <c r="I83" i="10"/>
  <c r="H83" i="10"/>
  <c r="F83" i="10"/>
  <c r="E83" i="10"/>
  <c r="AD27" i="10"/>
  <c r="AE27" i="10"/>
  <c r="AB27" i="10"/>
  <c r="X27" i="10"/>
  <c r="Y27" i="10"/>
  <c r="Z27" i="10"/>
  <c r="W27" i="10"/>
  <c r="V27" i="10"/>
  <c r="L27" i="10"/>
  <c r="AD80" i="10"/>
  <c r="V80" i="10"/>
  <c r="H80" i="10"/>
  <c r="AC44" i="10"/>
  <c r="AB44" i="10"/>
  <c r="AA44" i="10"/>
  <c r="T44" i="10"/>
  <c r="S44" i="10"/>
  <c r="R44" i="10"/>
  <c r="Q44" i="10"/>
  <c r="P44" i="10"/>
  <c r="O44" i="10"/>
  <c r="N44" i="10"/>
  <c r="M44" i="10"/>
  <c r="L44" i="10"/>
  <c r="K44" i="10"/>
  <c r="I44" i="10"/>
  <c r="G44" i="10"/>
  <c r="F44" i="10"/>
  <c r="AC91" i="10"/>
  <c r="AE91" i="10"/>
  <c r="Y91" i="10"/>
  <c r="W91" i="10"/>
  <c r="X91" i="10"/>
  <c r="T91" i="10"/>
  <c r="S91" i="10"/>
  <c r="R91" i="10"/>
  <c r="Q91" i="10"/>
  <c r="P91" i="10"/>
  <c r="O91" i="10"/>
  <c r="G91" i="10"/>
  <c r="AC17" i="10"/>
  <c r="AB17" i="10"/>
  <c r="AA17" i="10"/>
  <c r="T17" i="10"/>
  <c r="S17" i="10"/>
  <c r="R17" i="10"/>
  <c r="Q17" i="10"/>
  <c r="P17" i="10"/>
  <c r="O17" i="10"/>
  <c r="N17" i="10"/>
  <c r="L17" i="10"/>
  <c r="I17" i="10"/>
  <c r="G17" i="10"/>
  <c r="F17" i="10"/>
  <c r="E17" i="10"/>
  <c r="S19" i="10"/>
  <c r="Q19" i="10"/>
  <c r="M19" i="10"/>
  <c r="Q36" i="10"/>
  <c r="P36" i="10"/>
  <c r="O36" i="10"/>
  <c r="AF43" i="10"/>
  <c r="S43" i="10"/>
  <c r="E43" i="10"/>
  <c r="AE13" i="10"/>
  <c r="X13" i="10"/>
  <c r="Y13" i="10"/>
  <c r="Z13" i="10"/>
  <c r="W13" i="10"/>
  <c r="AE24" i="10"/>
  <c r="AD24" i="10"/>
  <c r="AC24" i="10"/>
  <c r="Z24" i="10"/>
  <c r="X24" i="10"/>
  <c r="V24" i="10"/>
  <c r="T24" i="10"/>
  <c r="S24" i="10"/>
  <c r="R24" i="10"/>
  <c r="Q24" i="10"/>
  <c r="P24" i="10"/>
  <c r="O24" i="10"/>
  <c r="AD7" i="10"/>
  <c r="V7" i="10"/>
  <c r="AD20" i="10"/>
  <c r="AB20" i="10"/>
  <c r="V20" i="10"/>
  <c r="P20" i="10"/>
  <c r="M20" i="10"/>
  <c r="K20" i="10"/>
  <c r="E20" i="10"/>
  <c r="AD75" i="10"/>
  <c r="V75" i="10"/>
  <c r="O75" i="10"/>
  <c r="I75" i="10"/>
  <c r="H75" i="10"/>
  <c r="T78" i="10"/>
  <c r="R78" i="10"/>
  <c r="P78" i="10"/>
  <c r="N78" i="10"/>
  <c r="M78" i="10"/>
  <c r="L78" i="10"/>
  <c r="K78" i="10"/>
  <c r="H78" i="10"/>
  <c r="AB23" i="10"/>
  <c r="S23" i="10"/>
  <c r="Q23" i="10"/>
  <c r="O23" i="10"/>
  <c r="M23" i="10"/>
  <c r="K23" i="10"/>
  <c r="I23" i="10"/>
  <c r="F18" i="10"/>
  <c r="AE30" i="10"/>
  <c r="AA30" i="10"/>
  <c r="Z30" i="10"/>
  <c r="Y30" i="10"/>
  <c r="X30" i="10"/>
  <c r="W30" i="10"/>
  <c r="T30" i="10"/>
  <c r="S30" i="10"/>
  <c r="R30" i="10"/>
  <c r="Q30" i="10"/>
  <c r="P30" i="10"/>
  <c r="O30" i="10"/>
  <c r="G30" i="10"/>
  <c r="F30" i="10"/>
  <c r="E30" i="10"/>
  <c r="X77" i="10"/>
  <c r="AC41" i="10"/>
  <c r="AA41" i="10"/>
  <c r="N37" i="10"/>
  <c r="L37" i="10"/>
  <c r="AC61" i="10"/>
  <c r="AA61" i="10"/>
  <c r="T61" i="10"/>
  <c r="S61" i="10"/>
  <c r="R61" i="10"/>
  <c r="Q61" i="10"/>
  <c r="P61" i="10"/>
  <c r="O61" i="10"/>
  <c r="F61" i="10"/>
  <c r="E61" i="10"/>
  <c r="AC65" i="10"/>
  <c r="AA65" i="10"/>
  <c r="S65" i="10"/>
  <c r="Q65" i="10"/>
  <c r="O65" i="10"/>
  <c r="J65" i="10"/>
  <c r="F65" i="10"/>
  <c r="E65" i="10"/>
  <c r="AE50" i="10"/>
  <c r="AC50" i="10"/>
  <c r="AB50" i="10"/>
  <c r="AA50" i="10"/>
  <c r="X50" i="10"/>
  <c r="Y50" i="10"/>
  <c r="Z50" i="10"/>
  <c r="W50" i="10"/>
  <c r="T50" i="10"/>
  <c r="S50" i="10"/>
  <c r="R50" i="10"/>
  <c r="Q50" i="10"/>
  <c r="O50" i="10"/>
  <c r="M50" i="10"/>
  <c r="K50" i="10"/>
  <c r="G50" i="10"/>
  <c r="F50" i="10"/>
  <c r="E50" i="10"/>
  <c r="AF76" i="10"/>
  <c r="E76" i="10"/>
  <c r="O29" i="10"/>
  <c r="AE14" i="10"/>
  <c r="AC14" i="10"/>
  <c r="AA14" i="10"/>
  <c r="X14" i="10"/>
  <c r="Y14" i="10"/>
  <c r="Z14" i="10"/>
  <c r="W14" i="10"/>
  <c r="T14" i="10"/>
  <c r="S14" i="10"/>
  <c r="R14" i="10"/>
  <c r="Q14" i="10"/>
  <c r="P14" i="10"/>
  <c r="O14" i="10"/>
  <c r="G14" i="10"/>
  <c r="F14" i="10"/>
  <c r="E14" i="10"/>
  <c r="L6" i="10"/>
  <c r="M6" i="10"/>
  <c r="N6" i="10"/>
  <c r="K6" i="10"/>
  <c r="N91" i="10"/>
  <c r="M91" i="10"/>
  <c r="K91" i="10"/>
  <c r="Z74" i="9"/>
  <c r="Y74" i="9"/>
  <c r="L74" i="9"/>
  <c r="H74" i="9"/>
  <c r="E74" i="9"/>
  <c r="D74" i="9"/>
  <c r="Y71" i="9"/>
  <c r="E71" i="9"/>
  <c r="D71" i="9"/>
  <c r="Y35" i="9"/>
  <c r="E35" i="9"/>
  <c r="D35" i="9"/>
  <c r="AD81" i="9"/>
  <c r="AF93" i="10"/>
  <c r="AF89" i="10"/>
  <c r="AF87" i="10"/>
  <c r="AF86" i="10"/>
  <c r="AF84" i="10"/>
  <c r="AF81" i="10"/>
  <c r="AF79" i="10"/>
  <c r="AF73" i="10"/>
  <c r="AF71" i="10"/>
  <c r="AF70" i="10"/>
  <c r="AF69" i="10"/>
  <c r="AF67" i="10"/>
  <c r="AF66" i="10"/>
  <c r="AF64" i="10"/>
  <c r="AF63" i="10"/>
  <c r="AF62" i="10"/>
  <c r="AF60" i="10"/>
  <c r="AF59" i="10"/>
  <c r="AF58" i="10"/>
  <c r="AF57" i="10"/>
  <c r="AF56" i="10"/>
  <c r="AF54" i="10"/>
  <c r="AF52" i="10"/>
  <c r="AF51" i="10"/>
  <c r="AF49" i="10"/>
  <c r="AF46" i="10"/>
  <c r="AF45" i="10"/>
  <c r="AF42" i="10"/>
  <c r="AF40" i="10"/>
  <c r="AF39" i="10"/>
  <c r="AF38" i="10"/>
  <c r="AF33" i="10"/>
  <c r="AF32" i="10"/>
  <c r="AF31" i="10"/>
  <c r="AF28" i="10"/>
  <c r="AF26" i="10"/>
  <c r="AF25" i="10"/>
  <c r="AF22" i="10"/>
  <c r="AF16" i="10"/>
  <c r="AF12" i="10"/>
  <c r="AF11" i="10"/>
  <c r="AA65" i="9"/>
  <c r="Y65" i="9"/>
  <c r="E65" i="9"/>
  <c r="D65" i="9"/>
  <c r="AA5" i="9"/>
  <c r="Y5" i="9"/>
  <c r="R5" i="9"/>
  <c r="Q5" i="9"/>
  <c r="P5" i="9"/>
  <c r="H5" i="9"/>
  <c r="E5" i="9"/>
  <c r="D5" i="9"/>
  <c r="Y7" i="9"/>
  <c r="H7" i="9"/>
  <c r="E7" i="9"/>
  <c r="D7" i="9"/>
  <c r="Y22" i="9"/>
  <c r="E22" i="9"/>
  <c r="D22" i="9"/>
  <c r="Y88" i="9"/>
  <c r="H88" i="9"/>
  <c r="D88" i="9"/>
  <c r="AB12" i="9"/>
  <c r="Y12" i="9"/>
  <c r="H12" i="9"/>
  <c r="E12" i="9"/>
  <c r="D12" i="9"/>
  <c r="Y11" i="9"/>
  <c r="H11" i="9"/>
  <c r="E11" i="9"/>
  <c r="D11" i="9"/>
  <c r="AD48" i="9"/>
  <c r="AB71" i="9"/>
  <c r="F74" i="9"/>
  <c r="Z68" i="9"/>
  <c r="Y68" i="9"/>
  <c r="M68" i="9"/>
  <c r="L68" i="9"/>
  <c r="K68" i="9"/>
  <c r="J68" i="9"/>
  <c r="F68" i="9"/>
  <c r="D68" i="9"/>
  <c r="AB13" i="9"/>
  <c r="Y13" i="9"/>
  <c r="T13" i="9"/>
  <c r="H13" i="9"/>
  <c r="E13" i="9"/>
  <c r="D13" i="9"/>
  <c r="Y9" i="9"/>
  <c r="AD9" i="9" s="1"/>
  <c r="H9" i="9"/>
  <c r="E9" i="9"/>
  <c r="D9" i="9"/>
  <c r="T90" i="9"/>
  <c r="AD10" i="9"/>
  <c r="AD11" i="9"/>
  <c r="AD16" i="9"/>
  <c r="AD17" i="9"/>
  <c r="AD20" i="9"/>
  <c r="AD21" i="9"/>
  <c r="AD24" i="9"/>
  <c r="AD25" i="9"/>
  <c r="AD26" i="9"/>
  <c r="AD27" i="9"/>
  <c r="AD29" i="9"/>
  <c r="AD30" i="9"/>
  <c r="AD31" i="9"/>
  <c r="AD33" i="9"/>
  <c r="AD35" i="9"/>
  <c r="AD36" i="9"/>
  <c r="AD37" i="9"/>
  <c r="AD38" i="9"/>
  <c r="AD39" i="9"/>
  <c r="AD41" i="9"/>
  <c r="AD42" i="9"/>
  <c r="AD43" i="9"/>
  <c r="AD44" i="9"/>
  <c r="AD45" i="9"/>
  <c r="AD46" i="9"/>
  <c r="AD47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2" i="9"/>
  <c r="AD73" i="9"/>
  <c r="AD75" i="9"/>
  <c r="AD79" i="9"/>
  <c r="AD80" i="9"/>
  <c r="AD82" i="9"/>
  <c r="AD83" i="9"/>
  <c r="AD85" i="9"/>
  <c r="AD86" i="9"/>
  <c r="AD89" i="9"/>
  <c r="Y27" i="9"/>
  <c r="H27" i="9"/>
  <c r="G27" i="9"/>
  <c r="F27" i="9"/>
  <c r="E27" i="9"/>
  <c r="D27" i="9"/>
  <c r="Y77" i="9"/>
  <c r="AD77" i="9" s="1"/>
  <c r="O77" i="9"/>
  <c r="P77" i="9"/>
  <c r="Q77" i="9"/>
  <c r="R77" i="9"/>
  <c r="U77" i="9"/>
  <c r="V77" i="9"/>
  <c r="W77" i="9"/>
  <c r="W90" i="9" s="1"/>
  <c r="X77" i="9"/>
  <c r="X90" i="9" s="1"/>
  <c r="N77" i="9"/>
  <c r="H77" i="9"/>
  <c r="E77" i="9"/>
  <c r="D77" i="9"/>
  <c r="U90" i="9"/>
  <c r="V90" i="9"/>
  <c r="AC90" i="9"/>
  <c r="Z19" i="9"/>
  <c r="AD19" i="9" s="1"/>
  <c r="AA19" i="9"/>
  <c r="Y19" i="9"/>
  <c r="R19" i="9"/>
  <c r="Q19" i="9"/>
  <c r="P19" i="9"/>
  <c r="O19" i="9"/>
  <c r="N19" i="9"/>
  <c r="L19" i="9"/>
  <c r="J19" i="9"/>
  <c r="H19" i="9"/>
  <c r="G19" i="9"/>
  <c r="F19" i="9"/>
  <c r="E19" i="9"/>
  <c r="D19" i="9"/>
  <c r="Y10" i="9"/>
  <c r="S10" i="9"/>
  <c r="R10" i="9"/>
  <c r="Q10" i="9"/>
  <c r="P10" i="9"/>
  <c r="O10" i="9"/>
  <c r="N10" i="9"/>
  <c r="H10" i="9"/>
  <c r="E10" i="9"/>
  <c r="D10" i="9"/>
  <c r="AA6" i="9"/>
  <c r="Y6" i="9"/>
  <c r="S6" i="9"/>
  <c r="R6" i="9"/>
  <c r="Q6" i="9"/>
  <c r="P6" i="9"/>
  <c r="O6" i="9"/>
  <c r="N6" i="9"/>
  <c r="H6" i="9"/>
  <c r="E6" i="9"/>
  <c r="D6" i="9"/>
  <c r="AA76" i="9"/>
  <c r="Z76" i="9"/>
  <c r="Y76" i="9"/>
  <c r="AD76" i="9" s="1"/>
  <c r="M76" i="9"/>
  <c r="K76" i="9"/>
  <c r="H76" i="9"/>
  <c r="F76" i="9"/>
  <c r="E76" i="9"/>
  <c r="D76" i="9"/>
  <c r="Y84" i="9"/>
  <c r="AD84" i="9" s="1"/>
  <c r="F84" i="9"/>
  <c r="Z20" i="9"/>
  <c r="Y20" i="9"/>
  <c r="H20" i="9"/>
  <c r="E20" i="9"/>
  <c r="D20" i="9"/>
  <c r="Y15" i="9"/>
  <c r="AD15" i="9" s="1"/>
  <c r="O15" i="9"/>
  <c r="P15" i="9"/>
  <c r="Q15" i="9"/>
  <c r="R15" i="9"/>
  <c r="N15" i="9"/>
  <c r="H15" i="9"/>
  <c r="F15" i="9"/>
  <c r="E15" i="9"/>
  <c r="D15" i="9"/>
  <c r="Z36" i="9"/>
  <c r="Y36" i="9"/>
  <c r="L36" i="9"/>
  <c r="J36" i="9"/>
  <c r="H36" i="9"/>
  <c r="F36" i="9"/>
  <c r="E36" i="9"/>
  <c r="D36" i="9"/>
  <c r="AG91" i="11" l="1"/>
  <c r="AF30" i="10"/>
  <c r="AF17" i="10"/>
  <c r="AF78" i="10"/>
  <c r="AF21" i="10"/>
  <c r="AF82" i="10"/>
  <c r="AF74" i="10"/>
  <c r="AF9" i="10"/>
  <c r="AF77" i="10"/>
  <c r="AF34" i="10"/>
  <c r="AF10" i="10"/>
  <c r="AF8" i="10"/>
  <c r="AF88" i="10"/>
  <c r="AF85" i="10"/>
  <c r="AF55" i="10"/>
  <c r="AF92" i="10"/>
  <c r="AF90" i="10"/>
  <c r="AF35" i="10"/>
  <c r="AF44" i="10"/>
  <c r="AF80" i="10"/>
  <c r="AF37" i="10"/>
  <c r="AF41" i="10"/>
  <c r="AF5" i="10"/>
  <c r="AD94" i="10"/>
  <c r="AF27" i="10"/>
  <c r="AF7" i="10"/>
  <c r="AB94" i="10"/>
  <c r="AF65" i="10"/>
  <c r="AF18" i="10"/>
  <c r="AF36" i="10"/>
  <c r="AF24" i="10"/>
  <c r="AF61" i="10"/>
  <c r="AF19" i="10"/>
  <c r="AF13" i="10"/>
  <c r="AE94" i="10"/>
  <c r="AF20" i="10"/>
  <c r="AF75" i="10"/>
  <c r="AF23" i="10"/>
  <c r="AF6" i="10"/>
  <c r="AC94" i="10"/>
  <c r="AF50" i="10"/>
  <c r="AF29" i="10"/>
  <c r="AA94" i="10"/>
  <c r="E94" i="10"/>
  <c r="AF91" i="10"/>
  <c r="AF14" i="10"/>
  <c r="AD12" i="9"/>
  <c r="AB90" i="9"/>
  <c r="AD71" i="9"/>
  <c r="S90" i="9"/>
  <c r="Z18" i="9"/>
  <c r="Y18" i="9"/>
  <c r="J18" i="9"/>
  <c r="H18" i="9"/>
  <c r="E18" i="9"/>
  <c r="D18" i="9"/>
  <c r="AA8" i="9"/>
  <c r="Y8" i="9"/>
  <c r="AD8" i="9" s="1"/>
  <c r="R8" i="9"/>
  <c r="Q8" i="9"/>
  <c r="P8" i="9"/>
  <c r="O8" i="9"/>
  <c r="N8" i="9"/>
  <c r="H8" i="9"/>
  <c r="E8" i="9"/>
  <c r="D8" i="9"/>
  <c r="Z5" i="9"/>
  <c r="Q90" i="9"/>
  <c r="O5" i="9"/>
  <c r="N5" i="9"/>
  <c r="K5" i="9"/>
  <c r="J5" i="9"/>
  <c r="Z87" i="9"/>
  <c r="Y87" i="9"/>
  <c r="AD87" i="9" s="1"/>
  <c r="L87" i="9"/>
  <c r="J87" i="9"/>
  <c r="H87" i="9"/>
  <c r="F87" i="9"/>
  <c r="E87" i="9"/>
  <c r="D87" i="9"/>
  <c r="L12" i="9"/>
  <c r="J12" i="9"/>
  <c r="L76" i="9"/>
  <c r="I76" i="9"/>
  <c r="D62" i="9"/>
  <c r="Y34" i="9"/>
  <c r="AD34" i="9" s="1"/>
  <c r="H34" i="9"/>
  <c r="E34" i="9"/>
  <c r="D34" i="9"/>
  <c r="Z23" i="9"/>
  <c r="Y23" i="9"/>
  <c r="AD23" i="9" s="1"/>
  <c r="M23" i="9"/>
  <c r="L23" i="9"/>
  <c r="H23" i="9"/>
  <c r="F23" i="9"/>
  <c r="E23" i="9"/>
  <c r="D23" i="9"/>
  <c r="Y32" i="9"/>
  <c r="AD32" i="9" s="1"/>
  <c r="E32" i="9"/>
  <c r="D32" i="9"/>
  <c r="Z14" i="9"/>
  <c r="AA14" i="9"/>
  <c r="Y14" i="9"/>
  <c r="AD14" i="9" s="1"/>
  <c r="O14" i="9"/>
  <c r="N14" i="9"/>
  <c r="M14" i="9"/>
  <c r="L14" i="9"/>
  <c r="E14" i="9"/>
  <c r="D14" i="9"/>
  <c r="AD74" i="9"/>
  <c r="AD7" i="9"/>
  <c r="AD88" i="9"/>
  <c r="M5" i="9"/>
  <c r="Z49" i="9"/>
  <c r="Y49" i="9"/>
  <c r="L49" i="9"/>
  <c r="M49" i="9"/>
  <c r="K49" i="9"/>
  <c r="J49" i="9"/>
  <c r="H49" i="9"/>
  <c r="G49" i="9"/>
  <c r="F49" i="9"/>
  <c r="E49" i="9"/>
  <c r="D49" i="9"/>
  <c r="M18" i="9"/>
  <c r="K18" i="9"/>
  <c r="F18" i="9"/>
  <c r="M36" i="9"/>
  <c r="K36" i="9"/>
  <c r="G20" i="9"/>
  <c r="F20" i="9"/>
  <c r="Z6" i="9"/>
  <c r="AD6" i="9" s="1"/>
  <c r="M6" i="9"/>
  <c r="K6" i="9"/>
  <c r="J76" i="9"/>
  <c r="G76" i="9"/>
  <c r="K87" i="9"/>
  <c r="AD22" i="9"/>
  <c r="H22" i="9"/>
  <c r="F22" i="9"/>
  <c r="AF94" i="10" l="1"/>
  <c r="AD49" i="9"/>
  <c r="AD18" i="9"/>
  <c r="AD5" i="9"/>
  <c r="O90" i="9"/>
  <c r="N90" i="9"/>
  <c r="P90" i="9"/>
  <c r="R90" i="9"/>
  <c r="AA90" i="9"/>
  <c r="Y40" i="9"/>
  <c r="AD40" i="9" s="1"/>
  <c r="H40" i="9"/>
  <c r="E40" i="9"/>
  <c r="D40" i="9"/>
  <c r="Y28" i="9"/>
  <c r="AD28" i="9" s="1"/>
  <c r="H28" i="9"/>
  <c r="E28" i="9"/>
  <c r="D28" i="9"/>
  <c r="H84" i="9"/>
  <c r="E84" i="9"/>
  <c r="D84" i="9"/>
  <c r="L90" i="9"/>
  <c r="H68" i="9"/>
  <c r="G68" i="9"/>
  <c r="E68" i="9"/>
  <c r="H71" i="9"/>
  <c r="G71" i="9"/>
  <c r="G74" i="9"/>
  <c r="J23" i="9"/>
  <c r="Z13" i="9"/>
  <c r="AD13" i="9" s="1"/>
  <c r="M13" i="9"/>
  <c r="K13" i="9"/>
  <c r="F13" i="9"/>
  <c r="Y78" i="9"/>
  <c r="AD78" i="9" s="1"/>
  <c r="Z78" i="9"/>
  <c r="J78" i="9"/>
  <c r="H78" i="9"/>
  <c r="E78" i="9"/>
  <c r="D78" i="9"/>
  <c r="M67" i="9"/>
  <c r="K67" i="9"/>
  <c r="J67" i="9"/>
  <c r="E67" i="9"/>
  <c r="D67" i="9"/>
  <c r="I90" i="9"/>
  <c r="N8" i="8"/>
  <c r="P8" i="8" s="1"/>
  <c r="H8" i="8"/>
  <c r="G8" i="8"/>
  <c r="E8" i="8"/>
  <c r="D8" i="8"/>
  <c r="N68" i="8"/>
  <c r="I68" i="8"/>
  <c r="H68" i="8"/>
  <c r="E68" i="8"/>
  <c r="D68" i="8"/>
  <c r="N6" i="8"/>
  <c r="H6" i="8"/>
  <c r="E6" i="8"/>
  <c r="D6" i="8"/>
  <c r="P42" i="8"/>
  <c r="P25" i="8"/>
  <c r="N33" i="8"/>
  <c r="P33" i="8" s="1"/>
  <c r="H33" i="8"/>
  <c r="E33" i="8"/>
  <c r="D33" i="8"/>
  <c r="N80" i="8"/>
  <c r="O80" i="8"/>
  <c r="M80" i="8"/>
  <c r="L80" i="8"/>
  <c r="H80" i="8"/>
  <c r="F80" i="8"/>
  <c r="E80" i="8"/>
  <c r="D80" i="8"/>
  <c r="O71" i="8"/>
  <c r="N71" i="8"/>
  <c r="M71" i="8"/>
  <c r="L71" i="8"/>
  <c r="H71" i="8"/>
  <c r="G71" i="8"/>
  <c r="F71" i="8"/>
  <c r="E71" i="8"/>
  <c r="D71" i="8"/>
  <c r="N9" i="8"/>
  <c r="P9" i="8" s="1"/>
  <c r="H9" i="8"/>
  <c r="E9" i="8"/>
  <c r="D9" i="8"/>
  <c r="N10" i="8"/>
  <c r="E10" i="8"/>
  <c r="D10" i="8"/>
  <c r="N5" i="8"/>
  <c r="E5" i="8"/>
  <c r="D5" i="8"/>
  <c r="O20" i="8"/>
  <c r="N20" i="8"/>
  <c r="M20" i="8"/>
  <c r="L20" i="8"/>
  <c r="H20" i="8"/>
  <c r="F20" i="8"/>
  <c r="E20" i="8"/>
  <c r="D20" i="8"/>
  <c r="N11" i="8"/>
  <c r="P11" i="8" s="1"/>
  <c r="H11" i="8"/>
  <c r="F11" i="8"/>
  <c r="E11" i="8"/>
  <c r="D11" i="8"/>
  <c r="O18" i="8"/>
  <c r="N18" i="8"/>
  <c r="L18" i="8"/>
  <c r="H18" i="8"/>
  <c r="E18" i="8"/>
  <c r="D18" i="8"/>
  <c r="N26" i="8"/>
  <c r="P26" i="8" s="1"/>
  <c r="H26" i="8"/>
  <c r="G26" i="8"/>
  <c r="F26" i="8"/>
  <c r="E26" i="8"/>
  <c r="D26" i="8"/>
  <c r="N81" i="8"/>
  <c r="P81" i="8" s="1"/>
  <c r="H81" i="8"/>
  <c r="G81" i="8"/>
  <c r="E81" i="8"/>
  <c r="D81" i="8"/>
  <c r="N35" i="8"/>
  <c r="H35" i="8"/>
  <c r="F35" i="8"/>
  <c r="E35" i="8"/>
  <c r="D35" i="8"/>
  <c r="K71" i="8"/>
  <c r="J71" i="8"/>
  <c r="N79" i="8"/>
  <c r="P79" i="8" s="1"/>
  <c r="O7" i="8"/>
  <c r="N7" i="8"/>
  <c r="M7" i="8"/>
  <c r="L7" i="8"/>
  <c r="J7" i="8"/>
  <c r="H7" i="8"/>
  <c r="E7" i="8"/>
  <c r="D7" i="8"/>
  <c r="O19" i="8"/>
  <c r="N19" i="8"/>
  <c r="L19" i="8"/>
  <c r="J19" i="8"/>
  <c r="G19" i="8"/>
  <c r="F19" i="8"/>
  <c r="E19" i="8"/>
  <c r="D19" i="8"/>
  <c r="O6" i="8"/>
  <c r="M6" i="8"/>
  <c r="K6" i="8"/>
  <c r="O5" i="8"/>
  <c r="M5" i="8"/>
  <c r="L5" i="8"/>
  <c r="K5" i="8"/>
  <c r="J5" i="8"/>
  <c r="H5" i="8"/>
  <c r="N13" i="8"/>
  <c r="P13" i="8" s="1"/>
  <c r="H13" i="8"/>
  <c r="E13" i="8"/>
  <c r="D13" i="8"/>
  <c r="H10" i="8"/>
  <c r="O17" i="8"/>
  <c r="N17" i="8"/>
  <c r="K17" i="8"/>
  <c r="L17" i="8"/>
  <c r="M17" i="8"/>
  <c r="J17" i="8"/>
  <c r="H17" i="8"/>
  <c r="F17" i="8"/>
  <c r="E17" i="8"/>
  <c r="D17" i="8"/>
  <c r="G18" i="8"/>
  <c r="F18" i="8"/>
  <c r="G33" i="8"/>
  <c r="K80" i="8"/>
  <c r="N75" i="8"/>
  <c r="P75" i="8" s="1"/>
  <c r="D75" i="8"/>
  <c r="F5" i="8"/>
  <c r="O12" i="8"/>
  <c r="N12" i="8"/>
  <c r="M12" i="8"/>
  <c r="L12" i="8"/>
  <c r="K12" i="8"/>
  <c r="J12" i="8"/>
  <c r="H12" i="8"/>
  <c r="E12" i="8"/>
  <c r="D12" i="8"/>
  <c r="N59" i="8"/>
  <c r="P59" i="8" s="1"/>
  <c r="I59" i="8"/>
  <c r="H59" i="8"/>
  <c r="G59" i="8"/>
  <c r="F59" i="8"/>
  <c r="E59" i="8"/>
  <c r="D59" i="8"/>
  <c r="N46" i="8"/>
  <c r="P46" i="8" s="1"/>
  <c r="I46" i="8"/>
  <c r="H46" i="8"/>
  <c r="G46" i="8"/>
  <c r="F46" i="8"/>
  <c r="O41" i="8"/>
  <c r="N41" i="8"/>
  <c r="M41" i="8"/>
  <c r="L41" i="8"/>
  <c r="K41" i="8"/>
  <c r="J41" i="8"/>
  <c r="H41" i="8"/>
  <c r="F41" i="8"/>
  <c r="E41" i="8"/>
  <c r="D41" i="8"/>
  <c r="N36" i="8"/>
  <c r="P36" i="8" s="1"/>
  <c r="L6" i="8"/>
  <c r="J6" i="8"/>
  <c r="O73" i="8"/>
  <c r="N73" i="8"/>
  <c r="P73" i="8" s="1"/>
  <c r="M73" i="8"/>
  <c r="L73" i="8"/>
  <c r="K73" i="8"/>
  <c r="J73" i="8"/>
  <c r="H73" i="8"/>
  <c r="E73" i="8"/>
  <c r="D73" i="8"/>
  <c r="O21" i="8"/>
  <c r="N21" i="8"/>
  <c r="J21" i="8"/>
  <c r="H21" i="8"/>
  <c r="E21" i="8"/>
  <c r="D21" i="8"/>
  <c r="N27" i="8"/>
  <c r="P27" i="8" s="1"/>
  <c r="H27" i="8"/>
  <c r="E27" i="8"/>
  <c r="D27" i="8"/>
  <c r="N66" i="8"/>
  <c r="P66" i="8" s="1"/>
  <c r="E66" i="8"/>
  <c r="D66" i="8"/>
  <c r="P68" i="8"/>
  <c r="O35" i="8"/>
  <c r="L35" i="8"/>
  <c r="J35" i="8"/>
  <c r="K20" i="8"/>
  <c r="J20" i="8"/>
  <c r="J80" i="8"/>
  <c r="P82" i="8"/>
  <c r="P78" i="8"/>
  <c r="P77" i="8"/>
  <c r="P76" i="8"/>
  <c r="P74" i="8"/>
  <c r="P72" i="8"/>
  <c r="P70" i="8"/>
  <c r="P69" i="8"/>
  <c r="P67" i="8"/>
  <c r="P65" i="8"/>
  <c r="P64" i="8"/>
  <c r="P63" i="8"/>
  <c r="P62" i="8"/>
  <c r="P61" i="8"/>
  <c r="P60" i="8"/>
  <c r="P58" i="8"/>
  <c r="P57" i="8"/>
  <c r="P56" i="8"/>
  <c r="P55" i="8"/>
  <c r="P54" i="8"/>
  <c r="P53" i="8"/>
  <c r="P52" i="8"/>
  <c r="P51" i="8"/>
  <c r="P50" i="8"/>
  <c r="P49" i="8"/>
  <c r="P48" i="8"/>
  <c r="P47" i="8"/>
  <c r="P45" i="8"/>
  <c r="P44" i="8"/>
  <c r="P43" i="8"/>
  <c r="P40" i="8"/>
  <c r="P39" i="8"/>
  <c r="P38" i="8"/>
  <c r="P37" i="8"/>
  <c r="P34" i="8"/>
  <c r="P32" i="8"/>
  <c r="P31" i="8"/>
  <c r="P30" i="8"/>
  <c r="P29" i="8"/>
  <c r="P28" i="8"/>
  <c r="P24" i="8"/>
  <c r="P23" i="8"/>
  <c r="P22" i="8"/>
  <c r="P17" i="8"/>
  <c r="P16" i="8"/>
  <c r="P15" i="8"/>
  <c r="P14" i="8"/>
  <c r="P10" i="8"/>
  <c r="J90" i="9" l="1"/>
  <c r="G90" i="9"/>
  <c r="M90" i="9"/>
  <c r="E90" i="9"/>
  <c r="K90" i="9"/>
  <c r="D90" i="9"/>
  <c r="F90" i="9"/>
  <c r="H90" i="9"/>
  <c r="Z90" i="9"/>
  <c r="Y90" i="9"/>
  <c r="P12" i="8"/>
  <c r="P41" i="8"/>
  <c r="P18" i="8"/>
  <c r="P71" i="8"/>
  <c r="P19" i="8"/>
  <c r="M83" i="8"/>
  <c r="K83" i="8"/>
  <c r="I83" i="8"/>
  <c r="G83" i="8"/>
  <c r="P20" i="8"/>
  <c r="P35" i="8"/>
  <c r="P80" i="8"/>
  <c r="F83" i="8"/>
  <c r="L83" i="8"/>
  <c r="O83" i="8"/>
  <c r="P7" i="8"/>
  <c r="J83" i="8"/>
  <c r="P21" i="8"/>
  <c r="E83" i="8"/>
  <c r="H83" i="8"/>
  <c r="D83" i="8"/>
  <c r="N83" i="8"/>
  <c r="P6" i="8"/>
  <c r="P5" i="8"/>
  <c r="N6" i="7"/>
  <c r="H6" i="7"/>
  <c r="E6" i="7"/>
  <c r="D6" i="7"/>
  <c r="N13" i="7"/>
  <c r="P13" i="7" s="1"/>
  <c r="E13" i="7"/>
  <c r="D13" i="7"/>
  <c r="N9" i="7"/>
  <c r="P9" i="7" s="1"/>
  <c r="H9" i="7"/>
  <c r="E9" i="7"/>
  <c r="D9" i="7"/>
  <c r="O16" i="7"/>
  <c r="P16" i="7" s="1"/>
  <c r="N15" i="7"/>
  <c r="H15" i="7"/>
  <c r="E15" i="7"/>
  <c r="D15" i="7"/>
  <c r="O18" i="7"/>
  <c r="N18" i="7"/>
  <c r="L18" i="7"/>
  <c r="J18" i="7"/>
  <c r="H18" i="7"/>
  <c r="E18" i="7"/>
  <c r="D18" i="7"/>
  <c r="N78" i="7"/>
  <c r="D78" i="7"/>
  <c r="O34" i="7"/>
  <c r="N34" i="7"/>
  <c r="L34" i="7"/>
  <c r="J34" i="7"/>
  <c r="E34" i="7"/>
  <c r="D34" i="7"/>
  <c r="O68" i="7"/>
  <c r="N68" i="7"/>
  <c r="J68" i="7"/>
  <c r="H68" i="7"/>
  <c r="E68" i="7"/>
  <c r="D68" i="7"/>
  <c r="N32" i="7"/>
  <c r="H32" i="7"/>
  <c r="E32" i="7"/>
  <c r="D32" i="7"/>
  <c r="O5" i="7"/>
  <c r="O80" i="7" s="1"/>
  <c r="N5" i="7"/>
  <c r="L5" i="7"/>
  <c r="K5" i="7"/>
  <c r="J5" i="7"/>
  <c r="J80" i="7" s="1"/>
  <c r="E5" i="7"/>
  <c r="D5" i="7"/>
  <c r="N25" i="7"/>
  <c r="P25" i="7" s="1"/>
  <c r="H25" i="7"/>
  <c r="G25" i="7"/>
  <c r="G80" i="7" s="1"/>
  <c r="E25" i="7"/>
  <c r="D25" i="7"/>
  <c r="F80" i="7"/>
  <c r="I80" i="7"/>
  <c r="K80" i="7"/>
  <c r="L80" i="7"/>
  <c r="M80" i="7"/>
  <c r="H5" i="7"/>
  <c r="F5" i="7"/>
  <c r="N69" i="7"/>
  <c r="P69" i="7" s="1"/>
  <c r="H69" i="7"/>
  <c r="E69" i="7"/>
  <c r="D69" i="7"/>
  <c r="N75" i="7"/>
  <c r="P75" i="7" s="1"/>
  <c r="D75" i="7"/>
  <c r="O6" i="7"/>
  <c r="M6" i="7"/>
  <c r="K6" i="7"/>
  <c r="N8" i="7"/>
  <c r="P8" i="7" s="1"/>
  <c r="H8" i="7"/>
  <c r="G8" i="7"/>
  <c r="F8" i="7"/>
  <c r="E8" i="7"/>
  <c r="D8" i="7"/>
  <c r="N19" i="7"/>
  <c r="O19" i="7"/>
  <c r="J19" i="7"/>
  <c r="H19" i="7"/>
  <c r="G19" i="7"/>
  <c r="F19" i="7"/>
  <c r="E19" i="7"/>
  <c r="D19" i="7"/>
  <c r="N64" i="7"/>
  <c r="O63" i="7"/>
  <c r="N63" i="7"/>
  <c r="F63" i="7"/>
  <c r="E63" i="7"/>
  <c r="D63" i="7"/>
  <c r="N66" i="7"/>
  <c r="P66" i="7" s="1"/>
  <c r="H66" i="7"/>
  <c r="F66" i="7"/>
  <c r="E66" i="7"/>
  <c r="D66" i="7"/>
  <c r="O7" i="7"/>
  <c r="N7" i="7"/>
  <c r="D7" i="7"/>
  <c r="N11" i="7"/>
  <c r="P11" i="7" s="1"/>
  <c r="H11" i="7"/>
  <c r="E11" i="7"/>
  <c r="D11" i="7"/>
  <c r="N30" i="7"/>
  <c r="P30" i="7" s="1"/>
  <c r="E30" i="7"/>
  <c r="D30" i="7"/>
  <c r="O62" i="7"/>
  <c r="P62" i="7" s="1"/>
  <c r="N62" i="7"/>
  <c r="L62" i="7"/>
  <c r="J62" i="7"/>
  <c r="H62" i="7"/>
  <c r="F62" i="7"/>
  <c r="E62" i="7"/>
  <c r="D62" i="7"/>
  <c r="P31" i="7"/>
  <c r="L68" i="7"/>
  <c r="O61" i="7"/>
  <c r="N61" i="7"/>
  <c r="O20" i="7"/>
  <c r="N20" i="7"/>
  <c r="L20" i="7"/>
  <c r="J20" i="7"/>
  <c r="G20" i="7"/>
  <c r="F20" i="7"/>
  <c r="E20" i="7"/>
  <c r="D20" i="7"/>
  <c r="N77" i="7"/>
  <c r="O77" i="7"/>
  <c r="L77" i="7"/>
  <c r="J77" i="7"/>
  <c r="F77" i="7"/>
  <c r="D77" i="7"/>
  <c r="O79" i="7"/>
  <c r="N79" i="7"/>
  <c r="M79" i="7"/>
  <c r="L79" i="7"/>
  <c r="K79" i="7"/>
  <c r="J79" i="7"/>
  <c r="H79" i="7"/>
  <c r="G79" i="7"/>
  <c r="F79" i="7"/>
  <c r="E79" i="7"/>
  <c r="D79" i="7"/>
  <c r="N10" i="7"/>
  <c r="H10" i="7"/>
  <c r="E10" i="7"/>
  <c r="D10" i="7"/>
  <c r="P32" i="7"/>
  <c r="G32" i="7"/>
  <c r="N65" i="7"/>
  <c r="P65" i="7" s="1"/>
  <c r="I65" i="7"/>
  <c r="H65" i="7"/>
  <c r="E65" i="7"/>
  <c r="D65" i="7"/>
  <c r="F25" i="7"/>
  <c r="P34" i="7"/>
  <c r="H34" i="7"/>
  <c r="F34" i="7"/>
  <c r="M5" i="7"/>
  <c r="O42" i="7"/>
  <c r="N42" i="7"/>
  <c r="J42" i="7"/>
  <c r="F42" i="7"/>
  <c r="E42" i="7"/>
  <c r="D42" i="7"/>
  <c r="N29" i="7"/>
  <c r="P29" i="7" s="1"/>
  <c r="H29" i="7"/>
  <c r="E29" i="7"/>
  <c r="D29" i="7"/>
  <c r="L6" i="7"/>
  <c r="J6" i="7"/>
  <c r="F18" i="7"/>
  <c r="O23" i="7"/>
  <c r="N23" i="7"/>
  <c r="L23" i="7"/>
  <c r="J23" i="7"/>
  <c r="H23" i="7"/>
  <c r="F23" i="7"/>
  <c r="E23" i="7"/>
  <c r="D23" i="7"/>
  <c r="I68" i="7"/>
  <c r="G68" i="7"/>
  <c r="H77" i="7"/>
  <c r="E77" i="7"/>
  <c r="N45" i="7"/>
  <c r="H45" i="7"/>
  <c r="F45" i="7"/>
  <c r="E45" i="7"/>
  <c r="D45" i="7"/>
  <c r="O53" i="7"/>
  <c r="N53" i="7"/>
  <c r="M53" i="7"/>
  <c r="L53" i="7"/>
  <c r="K53" i="7"/>
  <c r="I53" i="7"/>
  <c r="H53" i="7"/>
  <c r="D53" i="7"/>
  <c r="O40" i="7"/>
  <c r="N40" i="7"/>
  <c r="M40" i="7"/>
  <c r="L40" i="7"/>
  <c r="K40" i="7"/>
  <c r="J40" i="7"/>
  <c r="H40" i="7"/>
  <c r="F40" i="7"/>
  <c r="E40" i="7"/>
  <c r="D40" i="7"/>
  <c r="O66" i="7"/>
  <c r="L66" i="7"/>
  <c r="J66" i="7"/>
  <c r="H63" i="7"/>
  <c r="N73" i="7"/>
  <c r="P73" i="7" s="1"/>
  <c r="D73" i="7"/>
  <c r="P78" i="7"/>
  <c r="H78" i="7"/>
  <c r="G78" i="7"/>
  <c r="M7" i="7"/>
  <c r="K7" i="7"/>
  <c r="H7" i="7"/>
  <c r="E7" i="7"/>
  <c r="L16" i="7"/>
  <c r="J16" i="7"/>
  <c r="N28" i="7"/>
  <c r="P28" i="7" s="1"/>
  <c r="H28" i="7"/>
  <c r="G28" i="7"/>
  <c r="F28" i="7"/>
  <c r="E28" i="7"/>
  <c r="D28" i="7"/>
  <c r="N17" i="7"/>
  <c r="P17" i="7" s="1"/>
  <c r="M17" i="7"/>
  <c r="K17" i="7"/>
  <c r="J17" i="7"/>
  <c r="H17" i="7"/>
  <c r="F17" i="7"/>
  <c r="E17" i="7"/>
  <c r="D17" i="7"/>
  <c r="F68" i="7"/>
  <c r="P15" i="7"/>
  <c r="F15" i="7"/>
  <c r="N14" i="7"/>
  <c r="P14" i="7" s="1"/>
  <c r="G14" i="7"/>
  <c r="F14" i="7"/>
  <c r="E14" i="7"/>
  <c r="D14" i="7"/>
  <c r="O21" i="7"/>
  <c r="P21" i="7" s="1"/>
  <c r="N21" i="7"/>
  <c r="L21" i="7"/>
  <c r="J21" i="7"/>
  <c r="H21" i="7"/>
  <c r="E21" i="7"/>
  <c r="D21" i="7"/>
  <c r="M77" i="7"/>
  <c r="K77" i="7"/>
  <c r="O12" i="7"/>
  <c r="N12" i="7"/>
  <c r="P12" i="7" s="1"/>
  <c r="M12" i="7"/>
  <c r="K12" i="7"/>
  <c r="H12" i="7"/>
  <c r="E12" i="7"/>
  <c r="D12" i="7"/>
  <c r="N22" i="7"/>
  <c r="H22" i="7"/>
  <c r="E22" i="7"/>
  <c r="D22" i="7"/>
  <c r="H20" i="7"/>
  <c r="P10" i="7"/>
  <c r="O74" i="7"/>
  <c r="N74" i="7"/>
  <c r="M74" i="7"/>
  <c r="L74" i="7"/>
  <c r="K74" i="7"/>
  <c r="J74" i="7"/>
  <c r="H74" i="7"/>
  <c r="D74" i="7"/>
  <c r="N80" i="6"/>
  <c r="H80" i="6"/>
  <c r="D80" i="6"/>
  <c r="P76" i="7"/>
  <c r="P72" i="7"/>
  <c r="P71" i="7"/>
  <c r="P70" i="7"/>
  <c r="P67" i="7"/>
  <c r="P64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1" i="7"/>
  <c r="P39" i="7"/>
  <c r="P38" i="7"/>
  <c r="P37" i="7"/>
  <c r="P36" i="7"/>
  <c r="P35" i="7"/>
  <c r="P33" i="7"/>
  <c r="P27" i="7"/>
  <c r="P26" i="7"/>
  <c r="P24" i="7"/>
  <c r="P22" i="7"/>
  <c r="AD90" i="9" l="1"/>
  <c r="P83" i="8"/>
  <c r="H80" i="7"/>
  <c r="D80" i="7"/>
  <c r="E80" i="7"/>
  <c r="N80" i="7"/>
  <c r="P63" i="7"/>
  <c r="P40" i="7"/>
  <c r="P20" i="7"/>
  <c r="P61" i="7"/>
  <c r="P79" i="7"/>
  <c r="P74" i="7"/>
  <c r="P18" i="7"/>
  <c r="P42" i="7"/>
  <c r="P6" i="7"/>
  <c r="P23" i="7"/>
  <c r="P7" i="7"/>
  <c r="P19" i="7"/>
  <c r="P68" i="7"/>
  <c r="P77" i="7"/>
  <c r="P5" i="7"/>
  <c r="O7" i="6"/>
  <c r="N7" i="6"/>
  <c r="M7" i="6"/>
  <c r="L7" i="6"/>
  <c r="K7" i="6"/>
  <c r="J7" i="6"/>
  <c r="E7" i="6"/>
  <c r="D7" i="6"/>
  <c r="N34" i="6"/>
  <c r="H34" i="6"/>
  <c r="F34" i="6"/>
  <c r="E34" i="6"/>
  <c r="D34" i="6"/>
  <c r="N33" i="6"/>
  <c r="H33" i="6"/>
  <c r="E33" i="6"/>
  <c r="D33" i="6"/>
  <c r="O70" i="6"/>
  <c r="N70" i="6"/>
  <c r="M70" i="6"/>
  <c r="K70" i="6"/>
  <c r="J70" i="6"/>
  <c r="H70" i="6"/>
  <c r="G70" i="6"/>
  <c r="F70" i="6"/>
  <c r="E70" i="6"/>
  <c r="D70" i="6"/>
  <c r="N6" i="6"/>
  <c r="H6" i="6"/>
  <c r="E6" i="6"/>
  <c r="D6" i="6"/>
  <c r="N65" i="6"/>
  <c r="E65" i="6"/>
  <c r="D65" i="6"/>
  <c r="O68" i="6"/>
  <c r="N68" i="6"/>
  <c r="L68" i="6"/>
  <c r="J68" i="6"/>
  <c r="E68" i="6"/>
  <c r="D68" i="6"/>
  <c r="N13" i="6"/>
  <c r="H13" i="6"/>
  <c r="E13" i="6"/>
  <c r="D13" i="6"/>
  <c r="N5" i="6"/>
  <c r="E5" i="6"/>
  <c r="D5" i="6"/>
  <c r="N9" i="6"/>
  <c r="H9" i="6"/>
  <c r="E9" i="6"/>
  <c r="D9" i="6"/>
  <c r="N41" i="6"/>
  <c r="P41" i="6" s="1"/>
  <c r="H41" i="6"/>
  <c r="F41" i="6"/>
  <c r="D41" i="6"/>
  <c r="N20" i="6"/>
  <c r="H20" i="6"/>
  <c r="E20" i="6"/>
  <c r="D20" i="6"/>
  <c r="N18" i="6"/>
  <c r="H18" i="6"/>
  <c r="E18" i="6"/>
  <c r="D18" i="6"/>
  <c r="O5" i="6"/>
  <c r="J5" i="6"/>
  <c r="H5" i="6"/>
  <c r="O35" i="6"/>
  <c r="N35" i="6"/>
  <c r="L35" i="6"/>
  <c r="J35" i="6"/>
  <c r="H35" i="6"/>
  <c r="F35" i="6"/>
  <c r="E35" i="6"/>
  <c r="D35" i="6"/>
  <c r="L70" i="6"/>
  <c r="O79" i="6"/>
  <c r="N79" i="6"/>
  <c r="M79" i="6"/>
  <c r="L79" i="6"/>
  <c r="J79" i="6"/>
  <c r="D79" i="6"/>
  <c r="L5" i="6"/>
  <c r="O28" i="6"/>
  <c r="N28" i="6"/>
  <c r="M28" i="6"/>
  <c r="L28" i="6"/>
  <c r="K28" i="6"/>
  <c r="J28" i="6"/>
  <c r="H28" i="6"/>
  <c r="E28" i="6"/>
  <c r="D28" i="6"/>
  <c r="N27" i="6"/>
  <c r="H27" i="6"/>
  <c r="G27" i="6"/>
  <c r="F27" i="6"/>
  <c r="E27" i="6"/>
  <c r="D27" i="6"/>
  <c r="O19" i="6"/>
  <c r="N19" i="6"/>
  <c r="L19" i="6"/>
  <c r="J19" i="6"/>
  <c r="E19" i="6"/>
  <c r="D19" i="6"/>
  <c r="P36" i="6"/>
  <c r="E79" i="6"/>
  <c r="G33" i="6"/>
  <c r="F67" i="5"/>
  <c r="P80" i="7" l="1"/>
  <c r="P64" i="6"/>
  <c r="P46" i="6"/>
  <c r="P13" i="6"/>
  <c r="P63" i="6"/>
  <c r="O25" i="6"/>
  <c r="N25" i="6"/>
  <c r="L25" i="6"/>
  <c r="J25" i="6"/>
  <c r="F25" i="6"/>
  <c r="E25" i="6"/>
  <c r="D25" i="6"/>
  <c r="O20" i="6"/>
  <c r="J20" i="6"/>
  <c r="F20" i="6"/>
  <c r="N43" i="6"/>
  <c r="O43" i="6"/>
  <c r="L43" i="6"/>
  <c r="K43" i="6"/>
  <c r="K81" i="6" s="1"/>
  <c r="I43" i="6"/>
  <c r="I81" i="6" s="1"/>
  <c r="H43" i="6"/>
  <c r="F43" i="6"/>
  <c r="E43" i="6"/>
  <c r="D43" i="6"/>
  <c r="H30" i="6"/>
  <c r="G30" i="6"/>
  <c r="G81" i="6" s="1"/>
  <c r="F30" i="6"/>
  <c r="E30" i="6"/>
  <c r="D30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5" i="6"/>
  <c r="P44" i="6"/>
  <c r="P42" i="6"/>
  <c r="P40" i="6"/>
  <c r="P39" i="6"/>
  <c r="P38" i="6"/>
  <c r="P37" i="6"/>
  <c r="P34" i="6"/>
  <c r="P33" i="6"/>
  <c r="P32" i="6"/>
  <c r="P31" i="6"/>
  <c r="M81" i="6"/>
  <c r="P30" i="6"/>
  <c r="P29" i="6"/>
  <c r="P28" i="6"/>
  <c r="P27" i="6"/>
  <c r="P26" i="6"/>
  <c r="P24" i="6"/>
  <c r="P23" i="6"/>
  <c r="P22" i="6"/>
  <c r="P21" i="6"/>
  <c r="P19" i="6"/>
  <c r="P18" i="6"/>
  <c r="P17" i="6"/>
  <c r="P16" i="6"/>
  <c r="P15" i="6"/>
  <c r="P14" i="6"/>
  <c r="P12" i="6"/>
  <c r="P11" i="6"/>
  <c r="P10" i="6"/>
  <c r="P9" i="6"/>
  <c r="P8" i="6"/>
  <c r="P7" i="6"/>
  <c r="P6" i="6"/>
  <c r="N74" i="5"/>
  <c r="N62" i="5"/>
  <c r="E62" i="5"/>
  <c r="D62" i="5"/>
  <c r="N65" i="5"/>
  <c r="H65" i="5"/>
  <c r="E65" i="5"/>
  <c r="D65" i="5"/>
  <c r="O67" i="5"/>
  <c r="N67" i="5"/>
  <c r="M67" i="5"/>
  <c r="L67" i="5"/>
  <c r="K67" i="5"/>
  <c r="J67" i="5"/>
  <c r="H67" i="5"/>
  <c r="E67" i="5"/>
  <c r="D67" i="5"/>
  <c r="O5" i="5"/>
  <c r="N5" i="5"/>
  <c r="K5" i="5"/>
  <c r="J5" i="5"/>
  <c r="H5" i="5"/>
  <c r="E5" i="5"/>
  <c r="D5" i="5"/>
  <c r="O76" i="5"/>
  <c r="N76" i="5"/>
  <c r="K76" i="5"/>
  <c r="J76" i="5"/>
  <c r="H76" i="5"/>
  <c r="F76" i="5"/>
  <c r="E76" i="5"/>
  <c r="D76" i="5"/>
  <c r="N6" i="5"/>
  <c r="H6" i="5"/>
  <c r="E6" i="5"/>
  <c r="D6" i="5"/>
  <c r="P39" i="5"/>
  <c r="P40" i="5"/>
  <c r="O61" i="5"/>
  <c r="N61" i="5"/>
  <c r="M61" i="5"/>
  <c r="L61" i="5"/>
  <c r="K61" i="5"/>
  <c r="J61" i="5"/>
  <c r="H61" i="5"/>
  <c r="G61" i="5"/>
  <c r="F61" i="5"/>
  <c r="E61" i="5"/>
  <c r="D61" i="5"/>
  <c r="N28" i="5"/>
  <c r="H28" i="5"/>
  <c r="G28" i="5"/>
  <c r="F28" i="5"/>
  <c r="E28" i="5"/>
  <c r="D28" i="5"/>
  <c r="M5" i="5"/>
  <c r="L5" i="5"/>
  <c r="F5" i="5"/>
  <c r="O36" i="5"/>
  <c r="N36" i="5"/>
  <c r="L36" i="5"/>
  <c r="J36" i="5"/>
  <c r="H36" i="5"/>
  <c r="F36" i="5"/>
  <c r="E36" i="5"/>
  <c r="D36" i="5"/>
  <c r="N34" i="5"/>
  <c r="H34" i="5"/>
  <c r="G34" i="5"/>
  <c r="E34" i="5"/>
  <c r="D34" i="5"/>
  <c r="N20" i="5"/>
  <c r="H20" i="5"/>
  <c r="E20" i="5"/>
  <c r="D20" i="5"/>
  <c r="N10" i="5"/>
  <c r="P10" i="5" s="1"/>
  <c r="D10" i="5"/>
  <c r="P14" i="5"/>
  <c r="P56" i="5"/>
  <c r="D51" i="5"/>
  <c r="N18" i="5"/>
  <c r="H18" i="5"/>
  <c r="F18" i="5"/>
  <c r="E18" i="5"/>
  <c r="D18" i="5"/>
  <c r="N64" i="5"/>
  <c r="H64" i="5"/>
  <c r="N7" i="5"/>
  <c r="H7" i="5"/>
  <c r="E7" i="5"/>
  <c r="D7" i="5"/>
  <c r="M76" i="5"/>
  <c r="L76" i="5"/>
  <c r="O20" i="5"/>
  <c r="L20" i="5"/>
  <c r="J20" i="5"/>
  <c r="G20" i="5"/>
  <c r="F20" i="5"/>
  <c r="P38" i="5"/>
  <c r="G67" i="5"/>
  <c r="O32" i="5"/>
  <c r="N32" i="5"/>
  <c r="M32" i="5"/>
  <c r="L32" i="5"/>
  <c r="K32" i="5"/>
  <c r="J32" i="5"/>
  <c r="H32" i="5"/>
  <c r="F32" i="5"/>
  <c r="E32" i="5"/>
  <c r="D32" i="5"/>
  <c r="O65" i="5"/>
  <c r="L65" i="5"/>
  <c r="J65" i="5"/>
  <c r="N12" i="5"/>
  <c r="P12" i="5" s="1"/>
  <c r="H12" i="5"/>
  <c r="E12" i="5"/>
  <c r="D12" i="5"/>
  <c r="P26" i="5"/>
  <c r="N33" i="5"/>
  <c r="P33" i="5" s="1"/>
  <c r="E33" i="5"/>
  <c r="D33" i="5"/>
  <c r="D28" i="4"/>
  <c r="P43" i="6" l="1"/>
  <c r="P35" i="6"/>
  <c r="P20" i="6"/>
  <c r="L81" i="6"/>
  <c r="J81" i="6"/>
  <c r="P25" i="6"/>
  <c r="O81" i="6"/>
  <c r="F81" i="6"/>
  <c r="H81" i="6"/>
  <c r="N81" i="6"/>
  <c r="E81" i="6"/>
  <c r="D81" i="6"/>
  <c r="P5" i="6"/>
  <c r="N64" i="4"/>
  <c r="P64" i="4" s="1"/>
  <c r="D64" i="4"/>
  <c r="P27" i="5"/>
  <c r="M78" i="5"/>
  <c r="I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37" i="5"/>
  <c r="P36" i="5"/>
  <c r="P35" i="5"/>
  <c r="P34" i="5"/>
  <c r="P32" i="5"/>
  <c r="P31" i="5"/>
  <c r="P30" i="5"/>
  <c r="P29" i="5"/>
  <c r="P28" i="5"/>
  <c r="P25" i="5"/>
  <c r="P24" i="5"/>
  <c r="P23" i="5"/>
  <c r="P22" i="5"/>
  <c r="P21" i="5"/>
  <c r="P20" i="5"/>
  <c r="P19" i="5"/>
  <c r="F78" i="5"/>
  <c r="P18" i="5"/>
  <c r="P17" i="5"/>
  <c r="P16" i="5"/>
  <c r="P15" i="5"/>
  <c r="P13" i="5"/>
  <c r="P11" i="5"/>
  <c r="P9" i="5"/>
  <c r="P8" i="5"/>
  <c r="G78" i="5"/>
  <c r="P7" i="5"/>
  <c r="P6" i="5"/>
  <c r="H78" i="5"/>
  <c r="O78" i="5"/>
  <c r="N78" i="5"/>
  <c r="L78" i="5"/>
  <c r="K78" i="5"/>
  <c r="J78" i="5"/>
  <c r="E78" i="5"/>
  <c r="D78" i="5"/>
  <c r="O27" i="4"/>
  <c r="N27" i="4"/>
  <c r="L27" i="4"/>
  <c r="J27" i="4"/>
  <c r="E27" i="4"/>
  <c r="D27" i="4"/>
  <c r="N10" i="4"/>
  <c r="P10" i="4" s="1"/>
  <c r="H10" i="4"/>
  <c r="E10" i="4"/>
  <c r="D10" i="4"/>
  <c r="N11" i="4"/>
  <c r="P11" i="4" s="1"/>
  <c r="E11" i="4"/>
  <c r="D11" i="4"/>
  <c r="N6" i="4"/>
  <c r="P6" i="4" s="1"/>
  <c r="H6" i="4"/>
  <c r="E6" i="4"/>
  <c r="D6" i="4"/>
  <c r="O5" i="4"/>
  <c r="N5" i="4"/>
  <c r="M5" i="4"/>
  <c r="L5" i="4"/>
  <c r="K5" i="4"/>
  <c r="J5" i="4"/>
  <c r="H5" i="4"/>
  <c r="E5" i="4"/>
  <c r="D5" i="4"/>
  <c r="N9" i="4"/>
  <c r="P9" i="4" s="1"/>
  <c r="H9" i="4"/>
  <c r="E9" i="4"/>
  <c r="D9" i="4"/>
  <c r="N8" i="4"/>
  <c r="P8" i="4" s="1"/>
  <c r="H8" i="4"/>
  <c r="G8" i="4"/>
  <c r="E8" i="4"/>
  <c r="D8" i="4"/>
  <c r="O68" i="4"/>
  <c r="N68" i="4"/>
  <c r="M68" i="4"/>
  <c r="L68" i="4"/>
  <c r="J68" i="4"/>
  <c r="H68" i="4"/>
  <c r="E68" i="4"/>
  <c r="D68" i="4"/>
  <c r="O31" i="4"/>
  <c r="N31" i="4"/>
  <c r="H31" i="4"/>
  <c r="F31" i="4"/>
  <c r="E31" i="4"/>
  <c r="D31" i="4"/>
  <c r="N69" i="4"/>
  <c r="P69" i="4" s="1"/>
  <c r="H69" i="4"/>
  <c r="E69" i="4"/>
  <c r="D69" i="4"/>
  <c r="N24" i="4"/>
  <c r="E24" i="4"/>
  <c r="D24" i="4"/>
  <c r="O16" i="4"/>
  <c r="N16" i="4"/>
  <c r="L16" i="4"/>
  <c r="J16" i="4"/>
  <c r="H16" i="4"/>
  <c r="F16" i="4"/>
  <c r="E16" i="4"/>
  <c r="D16" i="4"/>
  <c r="O59" i="4"/>
  <c r="N59" i="4"/>
  <c r="M59" i="4"/>
  <c r="J59" i="4"/>
  <c r="H59" i="4"/>
  <c r="F59" i="4"/>
  <c r="E59" i="4"/>
  <c r="D59" i="4"/>
  <c r="P34" i="4"/>
  <c r="H11" i="4"/>
  <c r="N28" i="4"/>
  <c r="P28" i="4" s="1"/>
  <c r="H28" i="4"/>
  <c r="E28" i="4"/>
  <c r="L59" i="4"/>
  <c r="K59" i="4"/>
  <c r="P32" i="4"/>
  <c r="N23" i="4"/>
  <c r="P23" i="4" s="1"/>
  <c r="H23" i="4"/>
  <c r="G23" i="4"/>
  <c r="F23" i="4"/>
  <c r="E23" i="4"/>
  <c r="D23" i="4"/>
  <c r="D48" i="4"/>
  <c r="G59" i="4"/>
  <c r="P29" i="4"/>
  <c r="P26" i="4"/>
  <c r="P7" i="4"/>
  <c r="P12" i="4"/>
  <c r="P13" i="4"/>
  <c r="P14" i="4"/>
  <c r="P15" i="4"/>
  <c r="P17" i="4"/>
  <c r="P18" i="4"/>
  <c r="P19" i="4"/>
  <c r="P20" i="4"/>
  <c r="P21" i="4"/>
  <c r="P22" i="4"/>
  <c r="P24" i="4"/>
  <c r="P25" i="4"/>
  <c r="P30" i="4"/>
  <c r="P33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60" i="4"/>
  <c r="P61" i="4"/>
  <c r="P62" i="4"/>
  <c r="P63" i="4"/>
  <c r="P65" i="4"/>
  <c r="P66" i="4"/>
  <c r="P67" i="4"/>
  <c r="I70" i="4"/>
  <c r="Y8" i="3"/>
  <c r="I8" i="3"/>
  <c r="E8" i="3"/>
  <c r="D8" i="3"/>
  <c r="Y7" i="3"/>
  <c r="I7" i="3"/>
  <c r="E7" i="3"/>
  <c r="D7" i="3"/>
  <c r="AB54" i="3"/>
  <c r="Y69" i="3"/>
  <c r="I69" i="3"/>
  <c r="E69" i="3"/>
  <c r="D69" i="3"/>
  <c r="Y70" i="3"/>
  <c r="Z70" i="3"/>
  <c r="O70" i="3"/>
  <c r="M70" i="3"/>
  <c r="I70" i="3"/>
  <c r="E70" i="3"/>
  <c r="D70" i="3"/>
  <c r="Y17" i="3"/>
  <c r="I17" i="3"/>
  <c r="G17" i="3"/>
  <c r="E17" i="3"/>
  <c r="D17" i="3"/>
  <c r="AB22" i="3"/>
  <c r="Z60" i="3"/>
  <c r="Y60" i="3"/>
  <c r="O60" i="3"/>
  <c r="M60" i="3"/>
  <c r="L60" i="3"/>
  <c r="I60" i="3"/>
  <c r="E60" i="3"/>
  <c r="D60" i="3"/>
  <c r="AB35" i="3"/>
  <c r="Y19" i="3"/>
  <c r="G19" i="3"/>
  <c r="E19" i="3"/>
  <c r="D19" i="3"/>
  <c r="Z5" i="3"/>
  <c r="Y5" i="3"/>
  <c r="O5" i="3"/>
  <c r="M5" i="3"/>
  <c r="I5" i="3"/>
  <c r="E5" i="3"/>
  <c r="D5" i="3"/>
  <c r="Y9" i="3"/>
  <c r="I9" i="3"/>
  <c r="D9" i="3"/>
  <c r="AB16" i="3"/>
  <c r="L70" i="3"/>
  <c r="Y6" i="3"/>
  <c r="I6" i="3"/>
  <c r="E6" i="3"/>
  <c r="D6" i="3"/>
  <c r="AB32" i="3"/>
  <c r="Y25" i="3"/>
  <c r="I25" i="3"/>
  <c r="H25" i="3"/>
  <c r="G25" i="3"/>
  <c r="E25" i="3"/>
  <c r="D25" i="3"/>
  <c r="Y12" i="3"/>
  <c r="I12" i="3"/>
  <c r="E12" i="3"/>
  <c r="D12" i="3"/>
  <c r="Y30" i="3"/>
  <c r="I30" i="3"/>
  <c r="E30" i="3"/>
  <c r="D30" i="3"/>
  <c r="N5" i="3"/>
  <c r="L5" i="3"/>
  <c r="N70" i="3"/>
  <c r="P81" i="6" l="1"/>
  <c r="P27" i="4"/>
  <c r="F70" i="4"/>
  <c r="P5" i="5"/>
  <c r="P78" i="5" s="1"/>
  <c r="P68" i="4"/>
  <c r="P31" i="4"/>
  <c r="P16" i="4"/>
  <c r="O70" i="4"/>
  <c r="G70" i="4"/>
  <c r="P59" i="4"/>
  <c r="H70" i="4"/>
  <c r="K70" i="4"/>
  <c r="D70" i="4"/>
  <c r="M70" i="4"/>
  <c r="L70" i="4"/>
  <c r="J70" i="4"/>
  <c r="P5" i="4"/>
  <c r="E70" i="4"/>
  <c r="N70" i="4"/>
  <c r="AB6" i="3"/>
  <c r="AB17" i="3"/>
  <c r="AB60" i="3"/>
  <c r="M72" i="3"/>
  <c r="D72" i="3"/>
  <c r="O72" i="3"/>
  <c r="N72" i="3"/>
  <c r="L72" i="3"/>
  <c r="AA72" i="3"/>
  <c r="X72" i="3"/>
  <c r="W72" i="3"/>
  <c r="V72" i="3"/>
  <c r="U72" i="3"/>
  <c r="T72" i="3"/>
  <c r="S72" i="3"/>
  <c r="R72" i="3"/>
  <c r="Q72" i="3"/>
  <c r="P72" i="3"/>
  <c r="K72" i="3"/>
  <c r="F72" i="3"/>
  <c r="AB71" i="3"/>
  <c r="AB70" i="3"/>
  <c r="AB69" i="3"/>
  <c r="AB68" i="3"/>
  <c r="AB67" i="3"/>
  <c r="AB66" i="3"/>
  <c r="AB65" i="3"/>
  <c r="AB64" i="3"/>
  <c r="AB63" i="3"/>
  <c r="AB62" i="3"/>
  <c r="AB61" i="3"/>
  <c r="AB59" i="3"/>
  <c r="AB58" i="3"/>
  <c r="AB57" i="3"/>
  <c r="J72" i="3"/>
  <c r="AB56" i="3"/>
  <c r="AB55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4" i="3"/>
  <c r="AB33" i="3"/>
  <c r="AB31" i="3"/>
  <c r="AB30" i="3"/>
  <c r="AB29" i="3"/>
  <c r="AB28" i="3"/>
  <c r="AB27" i="3"/>
  <c r="AB26" i="3"/>
  <c r="AB25" i="3"/>
  <c r="AB24" i="3"/>
  <c r="AB23" i="3"/>
  <c r="AB21" i="3"/>
  <c r="AB20" i="3"/>
  <c r="AB19" i="3"/>
  <c r="AB18" i="3"/>
  <c r="AB15" i="3"/>
  <c r="AB14" i="3"/>
  <c r="AB13" i="3"/>
  <c r="AB12" i="3"/>
  <c r="AB11" i="3"/>
  <c r="AB10" i="3"/>
  <c r="AB9" i="3"/>
  <c r="AB8" i="3"/>
  <c r="H72" i="3"/>
  <c r="AB7" i="3"/>
  <c r="G72" i="3"/>
  <c r="Y50" i="2"/>
  <c r="AB50" i="2" s="1"/>
  <c r="I50" i="2"/>
  <c r="H50" i="2"/>
  <c r="G50" i="2"/>
  <c r="E50" i="2"/>
  <c r="D50" i="2"/>
  <c r="Y68" i="2"/>
  <c r="AB68" i="2" s="1"/>
  <c r="I68" i="2"/>
  <c r="E68" i="2"/>
  <c r="D68" i="2"/>
  <c r="Y52" i="2"/>
  <c r="AB52" i="2" s="1"/>
  <c r="J52" i="2"/>
  <c r="I52" i="2"/>
  <c r="E52" i="2"/>
  <c r="Z5" i="2"/>
  <c r="Z70" i="2"/>
  <c r="Y5" i="2"/>
  <c r="O5" i="2"/>
  <c r="M5" i="2"/>
  <c r="I5" i="2"/>
  <c r="E5" i="2"/>
  <c r="D5" i="2"/>
  <c r="AB49" i="2"/>
  <c r="Z27" i="2"/>
  <c r="Y27" i="2"/>
  <c r="L27" i="2"/>
  <c r="E27" i="2"/>
  <c r="Z56" i="2"/>
  <c r="Y56" i="2"/>
  <c r="M56" i="2"/>
  <c r="I56" i="2"/>
  <c r="H56" i="2"/>
  <c r="E56" i="2"/>
  <c r="D56" i="2"/>
  <c r="Y69" i="2"/>
  <c r="AB69" i="2" s="1"/>
  <c r="D69" i="2"/>
  <c r="Y6" i="2"/>
  <c r="AB6" i="2" s="1"/>
  <c r="I6" i="2"/>
  <c r="E6" i="2"/>
  <c r="D6" i="2"/>
  <c r="I20" i="2"/>
  <c r="E20" i="2"/>
  <c r="D20" i="2"/>
  <c r="I16" i="2"/>
  <c r="G16" i="2"/>
  <c r="E16" i="2"/>
  <c r="D16" i="2"/>
  <c r="G68" i="2"/>
  <c r="N5" i="2"/>
  <c r="L5" i="2"/>
  <c r="L70" i="2" s="1"/>
  <c r="Y9" i="2"/>
  <c r="AB9" i="2" s="1"/>
  <c r="I9" i="2"/>
  <c r="E9" i="2"/>
  <c r="D9" i="2"/>
  <c r="Y8" i="2"/>
  <c r="AB8" i="2" s="1"/>
  <c r="I8" i="2"/>
  <c r="H8" i="2"/>
  <c r="H70" i="2" s="1"/>
  <c r="E8" i="2"/>
  <c r="D8" i="2"/>
  <c r="AB22" i="2"/>
  <c r="Y28" i="2"/>
  <c r="I28" i="2"/>
  <c r="E28" i="2"/>
  <c r="D28" i="2"/>
  <c r="Y18" i="2"/>
  <c r="AB18" i="2" s="1"/>
  <c r="I18" i="2"/>
  <c r="E18" i="2"/>
  <c r="D18" i="2"/>
  <c r="D45" i="2"/>
  <c r="AB45" i="2"/>
  <c r="AB44" i="2"/>
  <c r="D44" i="2"/>
  <c r="O70" i="2"/>
  <c r="D40" i="2"/>
  <c r="G5" i="2"/>
  <c r="AA70" i="2"/>
  <c r="X70" i="2"/>
  <c r="W70" i="2"/>
  <c r="V70" i="2"/>
  <c r="U70" i="2"/>
  <c r="T70" i="2"/>
  <c r="S70" i="2"/>
  <c r="R70" i="2"/>
  <c r="Q70" i="2"/>
  <c r="P70" i="2"/>
  <c r="K70" i="2"/>
  <c r="J70" i="2"/>
  <c r="F70" i="2"/>
  <c r="AB67" i="2"/>
  <c r="AB66" i="2"/>
  <c r="AB65" i="2"/>
  <c r="AB64" i="2"/>
  <c r="AB63" i="2"/>
  <c r="AB62" i="2"/>
  <c r="AB61" i="2"/>
  <c r="AB60" i="2"/>
  <c r="AB59" i="2"/>
  <c r="AB58" i="2"/>
  <c r="AB57" i="2"/>
  <c r="AB55" i="2"/>
  <c r="AB54" i="2"/>
  <c r="AB53" i="2"/>
  <c r="AB51" i="2"/>
  <c r="AB48" i="2"/>
  <c r="AB47" i="2"/>
  <c r="AB46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6" i="2"/>
  <c r="AB25" i="2"/>
  <c r="AB24" i="2"/>
  <c r="AB23" i="2"/>
  <c r="AB21" i="2"/>
  <c r="AB20" i="2"/>
  <c r="AB19" i="2"/>
  <c r="AB17" i="2"/>
  <c r="AB16" i="2"/>
  <c r="AB15" i="2"/>
  <c r="AB14" i="2"/>
  <c r="AB13" i="2"/>
  <c r="AB12" i="2"/>
  <c r="AB11" i="2"/>
  <c r="AB10" i="2"/>
  <c r="AB7" i="2"/>
  <c r="Z19" i="1"/>
  <c r="Y19" i="1"/>
  <c r="N19" i="1"/>
  <c r="L19" i="1"/>
  <c r="I19" i="1"/>
  <c r="G19" i="1"/>
  <c r="E19" i="1"/>
  <c r="D19" i="1"/>
  <c r="Y13" i="1"/>
  <c r="I13" i="1"/>
  <c r="G13" i="1"/>
  <c r="E13" i="1"/>
  <c r="D13" i="1"/>
  <c r="AB23" i="1"/>
  <c r="Y12" i="1"/>
  <c r="E12" i="1"/>
  <c r="D12" i="1"/>
  <c r="Y6" i="1"/>
  <c r="I6" i="1"/>
  <c r="E6" i="1"/>
  <c r="D6" i="1"/>
  <c r="Z18" i="1"/>
  <c r="Y18" i="1"/>
  <c r="N18" i="1"/>
  <c r="I18" i="1"/>
  <c r="E18" i="1"/>
  <c r="D18" i="1"/>
  <c r="Y7" i="1"/>
  <c r="I7" i="1"/>
  <c r="E7" i="1"/>
  <c r="D7" i="1"/>
  <c r="AB31" i="1"/>
  <c r="Y28" i="1"/>
  <c r="I28" i="1"/>
  <c r="E28" i="1"/>
  <c r="D28" i="1"/>
  <c r="Z5" i="1"/>
  <c r="Y5" i="1"/>
  <c r="O5" i="1"/>
  <c r="N5" i="1"/>
  <c r="M5" i="1"/>
  <c r="L5" i="1"/>
  <c r="I5" i="1"/>
  <c r="E5" i="1"/>
  <c r="D5" i="1"/>
  <c r="I12" i="1"/>
  <c r="AB15" i="1"/>
  <c r="AB17" i="1"/>
  <c r="AB52" i="1"/>
  <c r="AB30" i="1"/>
  <c r="Y22" i="1"/>
  <c r="I22" i="1"/>
  <c r="E22" i="1"/>
  <c r="D22" i="1"/>
  <c r="L18" i="1"/>
  <c r="AB44" i="1"/>
  <c r="AB43" i="1"/>
  <c r="D39" i="1"/>
  <c r="P70" i="4" l="1"/>
  <c r="Z72" i="3"/>
  <c r="I72" i="3"/>
  <c r="E72" i="3"/>
  <c r="AB5" i="3"/>
  <c r="Y72" i="3"/>
  <c r="AB27" i="2"/>
  <c r="M70" i="2"/>
  <c r="AB56" i="2"/>
  <c r="I70" i="2"/>
  <c r="E70" i="2"/>
  <c r="AB5" i="2"/>
  <c r="Y70" i="2"/>
  <c r="AB70" i="2" s="1"/>
  <c r="N70" i="2"/>
  <c r="D70" i="2"/>
  <c r="G70" i="2"/>
  <c r="AA69" i="1"/>
  <c r="X69" i="1"/>
  <c r="W69" i="1"/>
  <c r="V69" i="1"/>
  <c r="U69" i="1"/>
  <c r="T69" i="1"/>
  <c r="S69" i="1"/>
  <c r="R69" i="1"/>
  <c r="Q69" i="1"/>
  <c r="P69" i="1"/>
  <c r="L69" i="1"/>
  <c r="K69" i="1"/>
  <c r="J69" i="1"/>
  <c r="H69" i="1"/>
  <c r="F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O69" i="1"/>
  <c r="M69" i="1"/>
  <c r="AB53" i="1"/>
  <c r="AB51" i="1"/>
  <c r="AB50" i="1"/>
  <c r="AB49" i="1"/>
  <c r="AB48" i="1"/>
  <c r="AB47" i="1"/>
  <c r="AB46" i="1"/>
  <c r="AB45" i="1"/>
  <c r="AB42" i="1"/>
  <c r="AB41" i="1"/>
  <c r="AB40" i="1"/>
  <c r="AB39" i="1"/>
  <c r="AB38" i="1"/>
  <c r="AB37" i="1"/>
  <c r="AB36" i="1"/>
  <c r="AB35" i="1"/>
  <c r="AB34" i="1"/>
  <c r="AB33" i="1"/>
  <c r="AB32" i="1"/>
  <c r="AB29" i="1"/>
  <c r="AB28" i="1"/>
  <c r="AB27" i="1"/>
  <c r="AB26" i="1"/>
  <c r="AB25" i="1"/>
  <c r="AB24" i="1"/>
  <c r="G69" i="1"/>
  <c r="AB22" i="1"/>
  <c r="AB21" i="1"/>
  <c r="AB20" i="1"/>
  <c r="AB19" i="1"/>
  <c r="AB18" i="1"/>
  <c r="AB16" i="1"/>
  <c r="AB14" i="1"/>
  <c r="AB13" i="1"/>
  <c r="AB12" i="1"/>
  <c r="AB11" i="1"/>
  <c r="AB10" i="1"/>
  <c r="AB9" i="1"/>
  <c r="I69" i="1"/>
  <c r="AB8" i="1"/>
  <c r="AB7" i="1"/>
  <c r="AB6" i="1"/>
  <c r="Z69" i="1"/>
  <c r="AB5" i="1"/>
  <c r="N69" i="1"/>
  <c r="E69" i="1"/>
  <c r="D69" i="1"/>
  <c r="AB72" i="3" l="1"/>
  <c r="Y69" i="1"/>
  <c r="AB69" i="1" s="1"/>
</calcChain>
</file>

<file path=xl/sharedStrings.xml><?xml version="1.0" encoding="utf-8"?>
<sst xmlns="http://schemas.openxmlformats.org/spreadsheetml/2006/main" count="2630" uniqueCount="309">
  <si>
    <t>REGION &amp; SKU WISE SALE</t>
  </si>
  <si>
    <t>S.NO.</t>
  </si>
  <si>
    <t>PARTY NAME</t>
  </si>
  <si>
    <t>TOWN</t>
  </si>
  <si>
    <t>MT 66GM</t>
  </si>
  <si>
    <t>MT 130GM</t>
  </si>
  <si>
    <t>MT 270GM</t>
  </si>
  <si>
    <t>MT 290GM</t>
  </si>
  <si>
    <t>MT 400GM</t>
  </si>
  <si>
    <t>MT 585GM</t>
  </si>
  <si>
    <t>MT 1080GM</t>
  </si>
  <si>
    <t>ATTA JAGGERY 300GM</t>
  </si>
  <si>
    <t>CHOCOLATE CAKE 14GM</t>
  </si>
  <si>
    <t>CHOCOLATE CAKE 28GM</t>
  </si>
  <si>
    <t>TUTTI FRUTTI CAKE 14GM</t>
  </si>
  <si>
    <t>TUTTI FRUTTI CAKE 28GM</t>
  </si>
  <si>
    <t>TENDER COCONUT 300GM</t>
  </si>
  <si>
    <t>DESI GHEE ATTA 300GM</t>
  </si>
  <si>
    <t>DOUBLE CHOCO CHIP 300GM</t>
  </si>
  <si>
    <t>DESI AJWAIN 300GM</t>
  </si>
  <si>
    <t>CHATPAT JEERA 300GM</t>
  </si>
  <si>
    <t>FRUIT BLAST 300GM</t>
  </si>
  <si>
    <t>HONEY ALMOND 300GM</t>
  </si>
  <si>
    <t>BUTTER KAJU 300GM</t>
  </si>
  <si>
    <t>MIX DRY FRUIT 300GM</t>
  </si>
  <si>
    <t>RUSK TOTAL</t>
  </si>
  <si>
    <t>MUFFINO TOTAL</t>
  </si>
  <si>
    <t>COOKIES TOTAL</t>
  </si>
  <si>
    <t>TOTAL AMOUNT</t>
  </si>
  <si>
    <t>RS. 10</t>
  </si>
  <si>
    <t>RS. 20</t>
  </si>
  <si>
    <t>RS. 40</t>
  </si>
  <si>
    <t>RS. 50</t>
  </si>
  <si>
    <t>RS. 70</t>
  </si>
  <si>
    <t>RS. 99</t>
  </si>
  <si>
    <t>RS. 175</t>
  </si>
  <si>
    <t>RS. 5</t>
  </si>
  <si>
    <t>RS. 160</t>
  </si>
  <si>
    <t>RS. 180</t>
  </si>
  <si>
    <t>KABUL CHAND &amp; SONS</t>
  </si>
  <si>
    <t>DELHI</t>
  </si>
  <si>
    <t>SHREE BALAJI AGENCIES</t>
  </si>
  <si>
    <t>REWARI</t>
  </si>
  <si>
    <t>VISHAL ENTERPRISES</t>
  </si>
  <si>
    <t>FATEHABAD</t>
  </si>
  <si>
    <t>SHIVA ENTERPRISES</t>
  </si>
  <si>
    <t>KARNAL</t>
  </si>
  <si>
    <t>BUDHIRAJA ENTERPRISES</t>
  </si>
  <si>
    <t>FARIDABAD</t>
  </si>
  <si>
    <t>SHRI RAM STORE</t>
  </si>
  <si>
    <t>SAMPLA</t>
  </si>
  <si>
    <t>SS ENTERPRISES(ARORA AGE.)</t>
  </si>
  <si>
    <t>AMBALA</t>
  </si>
  <si>
    <t>P.K. TRADERS</t>
  </si>
  <si>
    <t>KURALI</t>
  </si>
  <si>
    <t>JAI SHIV TRADERS</t>
  </si>
  <si>
    <t>FIROZPUR</t>
  </si>
  <si>
    <t>MAHAVEER ENTERPRISES</t>
  </si>
  <si>
    <t>SANGRUR</t>
  </si>
  <si>
    <t>RAJU TRADING CO.</t>
  </si>
  <si>
    <t>BATHINDA</t>
  </si>
  <si>
    <t>DURGA ENTERPRISES</t>
  </si>
  <si>
    <t>JALANDHAR</t>
  </si>
  <si>
    <t>GURU NANAK TRADERS</t>
  </si>
  <si>
    <t>LUDHIANA</t>
  </si>
  <si>
    <t>SHREE DUTT ENTERPRISES</t>
  </si>
  <si>
    <t>BATALA</t>
  </si>
  <si>
    <t>ANAND BIDI COMPANY</t>
  </si>
  <si>
    <t>JASSUR</t>
  </si>
  <si>
    <t>HARSH ENTERPRISES</t>
  </si>
  <si>
    <t>PARWANOO</t>
  </si>
  <si>
    <t>DASHMESH ENTERPRISES</t>
  </si>
  <si>
    <t>DEHRADUN</t>
  </si>
  <si>
    <t>AGARWAL TRADING</t>
  </si>
  <si>
    <t>HALDWANI</t>
  </si>
  <si>
    <t>KUMAR AGENCIES</t>
  </si>
  <si>
    <t>SITARGANJ</t>
  </si>
  <si>
    <t>BUTOLA GENERAL STORE</t>
  </si>
  <si>
    <t>SRINAGAR</t>
  </si>
  <si>
    <t>HELIOS MARKETING</t>
  </si>
  <si>
    <t>JAIPUR</t>
  </si>
  <si>
    <t>SHREE JASORIA AGENCIES</t>
  </si>
  <si>
    <t>ALWAR</t>
  </si>
  <si>
    <t>ARHAM MARKETING</t>
  </si>
  <si>
    <t>GUWAHATI</t>
  </si>
  <si>
    <t>BIDHAN TEA STORE</t>
  </si>
  <si>
    <t>HOJAI</t>
  </si>
  <si>
    <t>DSS TRADERS</t>
  </si>
  <si>
    <t>HOWLY</t>
  </si>
  <si>
    <t>ARUN STORES</t>
  </si>
  <si>
    <t>BONGAIGAON</t>
  </si>
  <si>
    <t>JAI GOVINDA BHANDAR</t>
  </si>
  <si>
    <t>DHUBRI</t>
  </si>
  <si>
    <t>S.R. DISTRIBUTORS</t>
  </si>
  <si>
    <t>TINSUKIA</t>
  </si>
  <si>
    <t>MAA BHAGWATI ENTERPRISES</t>
  </si>
  <si>
    <t>SIVASAGAR</t>
  </si>
  <si>
    <t>MAA SANTOSHI ENTERPRISES</t>
  </si>
  <si>
    <t>LUMDING</t>
  </si>
  <si>
    <t>CHAMPALAL BHANWARLAL</t>
  </si>
  <si>
    <t>N.LAKHIMPUR</t>
  </si>
  <si>
    <t>RADHA KRISHAN PRASAD</t>
  </si>
  <si>
    <t>SONITPUR</t>
  </si>
  <si>
    <t>GANESH ENTERPRISES</t>
  </si>
  <si>
    <t>SILAPATHAR</t>
  </si>
  <si>
    <t>LUWANG ENTERPRISES</t>
  </si>
  <si>
    <t>IMPHAL</t>
  </si>
  <si>
    <t>ATAM MANAN AND CO.</t>
  </si>
  <si>
    <t>JAMMU</t>
  </si>
  <si>
    <t>ARJUN ENTERPRISES</t>
  </si>
  <si>
    <t>THATHRI, JAMMU</t>
  </si>
  <si>
    <t>SHIVAM ENTERPRISES</t>
  </si>
  <si>
    <t>BEHRAICH</t>
  </si>
  <si>
    <t>BALAJI ENTERPRISES</t>
  </si>
  <si>
    <t>RUPAIDIHA</t>
  </si>
  <si>
    <t>CHOKHANI &amp; COMPANY</t>
  </si>
  <si>
    <t>NAUTANWA</t>
  </si>
  <si>
    <t>ANAND STORE</t>
  </si>
  <si>
    <t>GONDA</t>
  </si>
  <si>
    <t>SHIV TRADERS</t>
  </si>
  <si>
    <t>BALPUR</t>
  </si>
  <si>
    <t>SATI ENTERPRISES</t>
  </si>
  <si>
    <t>GORAKHPUR</t>
  </si>
  <si>
    <t>OM TRADERS</t>
  </si>
  <si>
    <t>BELTHARA</t>
  </si>
  <si>
    <t>SEETA MAA TRADERS</t>
  </si>
  <si>
    <t>AMARGARH</t>
  </si>
  <si>
    <t>GOYAL SALES CORP.</t>
  </si>
  <si>
    <t>MATHURA</t>
  </si>
  <si>
    <t>SAROJ TRADERS</t>
  </si>
  <si>
    <t>SHAHJAHANPUR</t>
  </si>
  <si>
    <t>MONU MOHIT &amp; BROTHERS</t>
  </si>
  <si>
    <t>KANPUR</t>
  </si>
  <si>
    <t>LALIT TRADERS</t>
  </si>
  <si>
    <t>FOODIE STOCKS</t>
  </si>
  <si>
    <t>MEERUT</t>
  </si>
  <si>
    <t>BANETIYA ENTERPRISES</t>
  </si>
  <si>
    <t>NOIDA</t>
  </si>
  <si>
    <t>PRAMOD TRADERS</t>
  </si>
  <si>
    <t>GHAZIPUR</t>
  </si>
  <si>
    <t>M.S. SALES</t>
  </si>
  <si>
    <t>KUNDA</t>
  </si>
  <si>
    <t>SWASTIK ENTERPRISES</t>
  </si>
  <si>
    <t>LUCKNOW</t>
  </si>
  <si>
    <t>RAJPOOT SALES</t>
  </si>
  <si>
    <t>EKTA NAGAR</t>
  </si>
  <si>
    <t>BHARAT AGENCY</t>
  </si>
  <si>
    <t>JANKIPURAM</t>
  </si>
  <si>
    <t>SHRI BALAJI FOOD AGENCY</t>
  </si>
  <si>
    <t>LDA COLONY</t>
  </si>
  <si>
    <t>TOTAL</t>
  </si>
  <si>
    <t>APRIL (2024)</t>
  </si>
  <si>
    <t>SHUBHAM AGENCY</t>
  </si>
  <si>
    <t>SRISHTI TRADING</t>
  </si>
  <si>
    <t>TEZPUR</t>
  </si>
  <si>
    <t>NAGAON</t>
  </si>
  <si>
    <t>DEEPAK ENTERPRISES</t>
  </si>
  <si>
    <t>JODHPUR</t>
  </si>
  <si>
    <t>J.P. &amp; SONS</t>
  </si>
  <si>
    <t>ANOOP ENTERPRISES</t>
  </si>
  <si>
    <t>TRILOK ENTERPRISES</t>
  </si>
  <si>
    <t>BHAWANIGARH</t>
  </si>
  <si>
    <t>DYUTIT FOOD AND BEVVIES LLP</t>
  </si>
  <si>
    <t>BHOPAL</t>
  </si>
  <si>
    <t>SAI ENTERPRISES</t>
  </si>
  <si>
    <t>KANGRA</t>
  </si>
  <si>
    <t>MAY (2024)</t>
  </si>
  <si>
    <t>ARCHANA TRADING</t>
  </si>
  <si>
    <t>SILCHAR</t>
  </si>
  <si>
    <t>RADHAVALLABH ENTERPRISES</t>
  </si>
  <si>
    <t>KARIMGANJ</t>
  </si>
  <si>
    <t>YASH TRADERS</t>
  </si>
  <si>
    <t>UNA</t>
  </si>
  <si>
    <t>PAREY GENERAL STORE</t>
  </si>
  <si>
    <t>POONCH</t>
  </si>
  <si>
    <t>JUNE (2024)</t>
  </si>
  <si>
    <t>CHARU SALES</t>
  </si>
  <si>
    <t>PRAGYA MARKETING</t>
  </si>
  <si>
    <t>VBT DISTRIBUTION HUB</t>
  </si>
  <si>
    <t>K.D. BEVERAGES</t>
  </si>
  <si>
    <t>JULY (2024)</t>
  </si>
  <si>
    <t>BANSHIDHAR RAMESH KUMAR</t>
  </si>
  <si>
    <t>KOTDWAR</t>
  </si>
  <si>
    <t>SHREE GANESH TRADING CO.</t>
  </si>
  <si>
    <t>SIKAR</t>
  </si>
  <si>
    <t>OM SAI RAM TRADERS</t>
  </si>
  <si>
    <t>KANHA JI ENTERPRISES</t>
  </si>
  <si>
    <t>RATANGARH</t>
  </si>
  <si>
    <t>AVINASH TRADERS</t>
  </si>
  <si>
    <t>JABALPUR</t>
  </si>
  <si>
    <t>AUGUST (2024)</t>
  </si>
  <si>
    <t>JPA TRADERS</t>
  </si>
  <si>
    <t>SOLAN</t>
  </si>
  <si>
    <t xml:space="preserve">VYAPAAR VISTAAR TECH </t>
  </si>
  <si>
    <t>SEKHRI GENERAL STORE</t>
  </si>
  <si>
    <t>SHREE SHYAM TOFFEE BHANDAR</t>
  </si>
  <si>
    <t>BHIWANI</t>
  </si>
  <si>
    <t>VASUDEV TRADING</t>
  </si>
  <si>
    <t>JAISALMER</t>
  </si>
  <si>
    <t>PREETI ENTERPRISES</t>
  </si>
  <si>
    <t>GURGAON</t>
  </si>
  <si>
    <t>M.R. AGENCY</t>
  </si>
  <si>
    <t>CACHAR</t>
  </si>
  <si>
    <t>VIJAY GENERAL STORE</t>
  </si>
  <si>
    <t>SAS NAGAR</t>
  </si>
  <si>
    <t>M.R.D. TRADING (OM SAI RAM TRADERS)</t>
  </si>
  <si>
    <t>RAMA KRISHNA ENTERPRISES</t>
  </si>
  <si>
    <t>BHARATPUR</t>
  </si>
  <si>
    <t>HINDAUN</t>
  </si>
  <si>
    <t>DIMPLE SALES AGENCY</t>
  </si>
  <si>
    <t>SEPTEMBER (2024)</t>
  </si>
  <si>
    <t>SVS HARNAL TRADERS</t>
  </si>
  <si>
    <t>RAJOURI</t>
  </si>
  <si>
    <t>SNIGDHA MARKETING</t>
  </si>
  <si>
    <t>DEEPA TRADERS</t>
  </si>
  <si>
    <t>BATHERA, JAMMU</t>
  </si>
  <si>
    <t>VANDNA ENTERPRISES</t>
  </si>
  <si>
    <t>RAJALDESAR</t>
  </si>
  <si>
    <t>UPENDRA AGENCY</t>
  </si>
  <si>
    <t>BIKANER</t>
  </si>
  <si>
    <t>OCTOBER (2024)</t>
  </si>
  <si>
    <t>VINAYAK SALES AGENCIES</t>
  </si>
  <si>
    <t>SUMERPUR</t>
  </si>
  <si>
    <t>OM ENTERPRISES</t>
  </si>
  <si>
    <t>GOMTINAGAR</t>
  </si>
  <si>
    <t>KAVYA TRADING CO.</t>
  </si>
  <si>
    <t>NOVEMBER (2024)</t>
  </si>
  <si>
    <t>M.R.D. TRADING</t>
  </si>
  <si>
    <t>NAG ENTERPRISES</t>
  </si>
  <si>
    <t>KALPANA ENTERPRISES</t>
  </si>
  <si>
    <t>PAONTA SAHIB</t>
  </si>
  <si>
    <t>GAYATRI MARKETING</t>
  </si>
  <si>
    <t>AJMER</t>
  </si>
  <si>
    <t>DECEMBER (2024)</t>
  </si>
  <si>
    <t>PEPPERY FOODS &amp; SNACKS</t>
  </si>
  <si>
    <t>ALLAHABAD</t>
  </si>
  <si>
    <t>MANN ENTERPRISES</t>
  </si>
  <si>
    <t>THANE</t>
  </si>
  <si>
    <t>BISCUIT TOTAL</t>
  </si>
  <si>
    <t>TENDER COCONUT BISCUIT 65GM</t>
  </si>
  <si>
    <t>TENDER COCONUT BISCUIT 32GM</t>
  </si>
  <si>
    <t>RICH BUTTER BISCUIT 32GM</t>
  </si>
  <si>
    <t>RICH BUTTER BISCUIT 65GM</t>
  </si>
  <si>
    <t>CRUNCHY JEERA BISCUIT 32GM</t>
  </si>
  <si>
    <t>VIDYA RAM BIPAN KUMAR</t>
  </si>
  <si>
    <t>SHIMLA</t>
  </si>
  <si>
    <t>REENA ENTERPRISES</t>
  </si>
  <si>
    <t>FAIZABAD</t>
  </si>
  <si>
    <t>MOHAN LAL KAILASH CHAND GANDHI</t>
  </si>
  <si>
    <t>POKARAN</t>
  </si>
  <si>
    <t>HONEY KAJU BISCUIT 65GM</t>
  </si>
  <si>
    <t>RAM ENTERPRISES</t>
  </si>
  <si>
    <t>GM BIXI AJWAIN 45GM</t>
  </si>
  <si>
    <t>GM BIXI COCONUT 45GM</t>
  </si>
  <si>
    <t>GM BIXI CRUNCHY JEERA 45GM</t>
  </si>
  <si>
    <t>GM BIXI ZIM ZAM 45GM</t>
  </si>
  <si>
    <t>BIXI TOTAL</t>
  </si>
  <si>
    <t>DONUT CAKE 47GM</t>
  </si>
  <si>
    <t>DONUT TOTAL</t>
  </si>
  <si>
    <t>ASHOK KUMAR SUNIL KUMAR</t>
  </si>
  <si>
    <t>KATNI</t>
  </si>
  <si>
    <t>JANUARY (2025)</t>
  </si>
  <si>
    <t>LOKESH KIRANA &amp; GEN. STORE</t>
  </si>
  <si>
    <t>STATE</t>
  </si>
  <si>
    <t>HARYANA</t>
  </si>
  <si>
    <t>PUNJAB</t>
  </si>
  <si>
    <t>HP</t>
  </si>
  <si>
    <t>UK</t>
  </si>
  <si>
    <t>RAJASTHAN</t>
  </si>
  <si>
    <t>MP</t>
  </si>
  <si>
    <t>MAH</t>
  </si>
  <si>
    <t>ASSAM</t>
  </si>
  <si>
    <t>MANIPUR</t>
  </si>
  <si>
    <t>J&amp;K</t>
  </si>
  <si>
    <t>UP</t>
  </si>
  <si>
    <t>THATHRI</t>
  </si>
  <si>
    <t>BATHERA</t>
  </si>
  <si>
    <t>DIVYA ENTERPRISES</t>
  </si>
  <si>
    <t>TIKK TAKK BISCUIT 35GM</t>
  </si>
  <si>
    <t>MAHAKAL TRADERS</t>
  </si>
  <si>
    <t>SAWAI MADHOPUR</t>
  </si>
  <si>
    <t>CHANDRA KALA TRADERS (SHREE GANESH TRADING CO.)</t>
  </si>
  <si>
    <t>SHREE HANUMAN TRADERS</t>
  </si>
  <si>
    <t>BHIWANDI</t>
  </si>
  <si>
    <t>SYAM ENTERPRISES</t>
  </si>
  <si>
    <t>JORHAT</t>
  </si>
  <si>
    <t>SHRI VINAYAK AGENCIES</t>
  </si>
  <si>
    <t>BARMER</t>
  </si>
  <si>
    <t>FEBRUARY (2025)</t>
  </si>
  <si>
    <t>S.M. TRADERS (REENA ENT.)</t>
  </si>
  <si>
    <t>SATGURU SALES</t>
  </si>
  <si>
    <t>DAHOD</t>
  </si>
  <si>
    <t>GUJARAT</t>
  </si>
  <si>
    <t>TIKK TAKK BISCUIT 65GM</t>
  </si>
  <si>
    <t>AKSHIT COLD DRINKS</t>
  </si>
  <si>
    <t>SHAMLI</t>
  </si>
  <si>
    <t>PRABHA AGENCY</t>
  </si>
  <si>
    <t>MARCH (2025)</t>
  </si>
  <si>
    <t>SHRI BHAGWANDASS AGRO IND.</t>
  </si>
  <si>
    <t>SURATGARH</t>
  </si>
  <si>
    <t>JAIN AGENCIES</t>
  </si>
  <si>
    <t>BALRAMPUR</t>
  </si>
  <si>
    <t>SHRI SHYAM MARKETING</t>
  </si>
  <si>
    <t>VISHAL TRADING CO.</t>
  </si>
  <si>
    <t>SHREEJI SALES</t>
  </si>
  <si>
    <t>VADAGAM</t>
  </si>
  <si>
    <t>SHYAMAL DAS</t>
  </si>
  <si>
    <t>KOKRAJHAR</t>
  </si>
  <si>
    <t>JOSHI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</si>
</sst>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6" xfId="0" applyBorder="1" applyAlignment="1">
      <alignment horizontal="center"/>
    </xf>
    <xf numFmtId="0" fontId="0" fillId="0" borderId="6" xfId="0" applyBorder="1" applyAlignment="1">
      <alignment vertical="center"/>
    </xf>
    <xf numFmtId="2" fontId="1" fillId="0" borderId="6" xfId="0" applyNumberFormat="1" applyFont="1" applyBorder="1" applyAlignment="1">
      <alignment horizontal="right"/>
    </xf>
    <xf numFmtId="4" fontId="5" fillId="0" borderId="6" xfId="0" applyNumberFormat="1" applyFont="1" applyBorder="1"/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2" fontId="1" fillId="0" borderId="6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/>
    </xf>
    <xf numFmtId="2" fontId="1" fillId="0" borderId="9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2" xfId="0" applyFont="1" applyFill="1" applyBorder="1"/>
    <xf numFmtId="0" fontId="1" fillId="6" borderId="2" xfId="0" applyFont="1" applyFill="1" applyBorder="1" applyAlignment="1">
      <alignment horizontal="center"/>
    </xf>
    <xf numFmtId="4" fontId="1" fillId="6" borderId="2" xfId="0" applyNumberFormat="1" applyFont="1" applyFill="1" applyBorder="1" applyAlignment="1">
      <alignment horizontal="right"/>
    </xf>
    <xf numFmtId="4" fontId="1" fillId="6" borderId="4" xfId="0" applyNumberFormat="1" applyFont="1" applyFill="1" applyBorder="1" applyAlignment="1">
      <alignment horizontal="right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1" fillId="0" borderId="0" xfId="0" applyFont="1"/>
    <xf numFmtId="4" fontId="5" fillId="0" borderId="12" xfId="0" applyNumberFormat="1" applyFont="1" applyBorder="1"/>
    <xf numFmtId="2" fontId="1" fillId="0" borderId="6" xfId="0" applyNumberFormat="1" applyFont="1" applyFill="1" applyBorder="1" applyAlignment="1">
      <alignment horizontal="right"/>
    </xf>
    <xf numFmtId="0" fontId="0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2" fillId="2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zoomScale="90" zoomScaleNormal="90" workbookViewId="0">
      <pane xSplit="3" ySplit="4" topLeftCell="D47" activePane="bottomRight" state="frozen"/>
      <selection pane="topRight" activeCell="D1" sqref="D1"/>
      <selection pane="bottomLeft" activeCell="A5" sqref="A5"/>
      <selection pane="bottomRight" activeCell="AF66" sqref="AF66"/>
    </sheetView>
  </sheetViews>
  <sheetFormatPr defaultRowHeight="15" x14ac:dyDescent="0.25"/>
  <cols>
    <col min="1" max="1" width="6.42578125" bestFit="1" customWidth="1"/>
    <col min="2" max="2" width="27.140625" bestFit="1" customWidth="1"/>
    <col min="3" max="3" width="15.5703125" bestFit="1" customWidth="1"/>
    <col min="4" max="4" width="8.42578125" style="14" customWidth="1"/>
    <col min="5" max="5" width="9" style="14" customWidth="1"/>
    <col min="6" max="6" width="8.42578125" style="14" hidden="1" customWidth="1"/>
    <col min="7" max="7" width="8.42578125" style="14" customWidth="1"/>
    <col min="8" max="10" width="8.7109375" style="14" customWidth="1"/>
    <col min="11" max="11" width="8.7109375" style="14" hidden="1" customWidth="1"/>
    <col min="12" max="13" width="9" style="14" customWidth="1"/>
    <col min="14" max="14" width="8.7109375" style="14" customWidth="1"/>
    <col min="15" max="15" width="8.28515625" style="14" customWidth="1"/>
    <col min="16" max="16" width="8.7109375" style="14" hidden="1" customWidth="1"/>
    <col min="17" max="17" width="8.42578125" style="14" hidden="1" customWidth="1"/>
    <col min="18" max="20" width="8.85546875" style="14" hidden="1" customWidth="1"/>
    <col min="21" max="21" width="8.7109375" style="14" hidden="1" customWidth="1"/>
    <col min="22" max="22" width="8.85546875" style="14" hidden="1" customWidth="1"/>
    <col min="23" max="23" width="8.42578125" style="14" hidden="1" customWidth="1"/>
    <col min="24" max="24" width="9.28515625" style="14" hidden="1" customWidth="1"/>
    <col min="25" max="25" width="14.140625" style="14" bestFit="1" customWidth="1"/>
    <col min="26" max="26" width="12.5703125" style="14" bestFit="1" customWidth="1"/>
    <col min="27" max="27" width="10.7109375" style="14" hidden="1" customWidth="1"/>
    <col min="28" max="28" width="14.140625" bestFit="1" customWidth="1"/>
    <col min="34" max="34" width="10" bestFit="1" customWidth="1"/>
  </cols>
  <sheetData>
    <row r="1" spans="1:28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9.5" thickBot="1" x14ac:dyDescent="0.35">
      <c r="A2" s="38" t="s">
        <v>151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 ht="63.75" thickBot="1" x14ac:dyDescent="0.3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  <c r="Q3" s="17" t="s">
        <v>17</v>
      </c>
      <c r="R3" s="17" t="s">
        <v>18</v>
      </c>
      <c r="S3" s="17" t="s">
        <v>19</v>
      </c>
      <c r="T3" s="17" t="s">
        <v>20</v>
      </c>
      <c r="U3" s="17" t="s">
        <v>21</v>
      </c>
      <c r="V3" s="17" t="s">
        <v>22</v>
      </c>
      <c r="W3" s="17" t="s">
        <v>23</v>
      </c>
      <c r="X3" s="17" t="s">
        <v>24</v>
      </c>
      <c r="Y3" s="17" t="s">
        <v>25</v>
      </c>
      <c r="Z3" s="18" t="s">
        <v>26</v>
      </c>
      <c r="AA3" s="18" t="s">
        <v>27</v>
      </c>
      <c r="AB3" s="19" t="s">
        <v>28</v>
      </c>
    </row>
    <row r="4" spans="1:28" ht="15.75" thickBot="1" x14ac:dyDescent="0.3">
      <c r="A4" s="20"/>
      <c r="B4" s="21"/>
      <c r="C4" s="21"/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34</v>
      </c>
      <c r="L4" s="22" t="s">
        <v>36</v>
      </c>
      <c r="M4" s="22" t="s">
        <v>29</v>
      </c>
      <c r="N4" s="22" t="s">
        <v>36</v>
      </c>
      <c r="O4" s="22" t="s">
        <v>29</v>
      </c>
      <c r="P4" s="22" t="s">
        <v>37</v>
      </c>
      <c r="Q4" s="22" t="s">
        <v>37</v>
      </c>
      <c r="R4" s="22" t="s">
        <v>37</v>
      </c>
      <c r="S4" s="22" t="s">
        <v>37</v>
      </c>
      <c r="T4" s="22" t="s">
        <v>37</v>
      </c>
      <c r="U4" s="22" t="s">
        <v>37</v>
      </c>
      <c r="V4" s="22" t="s">
        <v>38</v>
      </c>
      <c r="W4" s="22" t="s">
        <v>38</v>
      </c>
      <c r="X4" s="22" t="s">
        <v>38</v>
      </c>
      <c r="Y4" s="22"/>
      <c r="Z4" s="22"/>
      <c r="AA4" s="22"/>
      <c r="AB4" s="23"/>
    </row>
    <row r="5" spans="1:28" x14ac:dyDescent="0.25">
      <c r="A5" s="1">
        <v>1</v>
      </c>
      <c r="B5" s="2" t="s">
        <v>39</v>
      </c>
      <c r="C5" s="2" t="s">
        <v>40</v>
      </c>
      <c r="D5" s="1">
        <f>900+1000+1000</f>
        <v>2900</v>
      </c>
      <c r="E5" s="1">
        <f>150+200+125</f>
        <v>475</v>
      </c>
      <c r="F5" s="1"/>
      <c r="G5" s="1"/>
      <c r="H5" s="1"/>
      <c r="I5" s="1">
        <f>50+25+75</f>
        <v>150</v>
      </c>
      <c r="J5" s="1"/>
      <c r="K5" s="1"/>
      <c r="L5" s="1">
        <f>15+20+5</f>
        <v>40</v>
      </c>
      <c r="M5" s="1">
        <f>20+5</f>
        <v>25</v>
      </c>
      <c r="N5" s="1">
        <f>10+20+5</f>
        <v>35</v>
      </c>
      <c r="O5" s="1">
        <f>20+5</f>
        <v>25</v>
      </c>
      <c r="P5" s="1"/>
      <c r="Q5" s="1"/>
      <c r="R5" s="1"/>
      <c r="S5" s="1"/>
      <c r="T5" s="1"/>
      <c r="U5" s="1"/>
      <c r="V5" s="1"/>
      <c r="W5" s="1"/>
      <c r="X5" s="1"/>
      <c r="Y5" s="3">
        <f>354463+384981+377366</f>
        <v>1116810</v>
      </c>
      <c r="Z5" s="3">
        <f>50856+25997+15152</f>
        <v>92005</v>
      </c>
      <c r="AA5" s="3"/>
      <c r="AB5" s="4">
        <f>Y5+Z5+AA5</f>
        <v>1208815</v>
      </c>
    </row>
    <row r="6" spans="1:28" x14ac:dyDescent="0.25">
      <c r="A6" s="1">
        <v>2</v>
      </c>
      <c r="B6" s="2" t="s">
        <v>41</v>
      </c>
      <c r="C6" s="2" t="s">
        <v>42</v>
      </c>
      <c r="D6" s="1">
        <f>650+1065+700+800+960+1550+1377+1270</f>
        <v>8372</v>
      </c>
      <c r="E6" s="1">
        <f>100+125+150+150+130+100</f>
        <v>755</v>
      </c>
      <c r="F6" s="1"/>
      <c r="G6" s="1"/>
      <c r="H6" s="1"/>
      <c r="I6" s="1">
        <f>100+25+150+130+60+54+20</f>
        <v>539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>
        <f>306413+362907+388206+397039+300707+402513+457815+398874</f>
        <v>3014474</v>
      </c>
      <c r="Z6" s="3"/>
      <c r="AA6" s="3"/>
      <c r="AB6" s="4">
        <f t="shared" ref="AB6:AB69" si="0">Y6+Z6+AA6</f>
        <v>3014474</v>
      </c>
    </row>
    <row r="7" spans="1:28" x14ac:dyDescent="0.25">
      <c r="A7" s="1">
        <v>3</v>
      </c>
      <c r="B7" s="5" t="s">
        <v>43</v>
      </c>
      <c r="C7" s="2" t="s">
        <v>44</v>
      </c>
      <c r="D7" s="1">
        <f>850+950</f>
        <v>1800</v>
      </c>
      <c r="E7" s="1">
        <f>20+70</f>
        <v>90</v>
      </c>
      <c r="F7" s="1"/>
      <c r="G7" s="1"/>
      <c r="H7" s="1"/>
      <c r="I7" s="1">
        <f>80+30</f>
        <v>110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>
        <f>299665+299932</f>
        <v>599597</v>
      </c>
      <c r="Z7" s="3"/>
      <c r="AA7" s="3"/>
      <c r="AB7" s="4">
        <f t="shared" si="0"/>
        <v>599597</v>
      </c>
    </row>
    <row r="8" spans="1:28" x14ac:dyDescent="0.25">
      <c r="A8" s="1">
        <v>4</v>
      </c>
      <c r="B8" s="2" t="s">
        <v>45</v>
      </c>
      <c r="C8" s="2" t="s">
        <v>46</v>
      </c>
      <c r="D8" s="1">
        <v>290</v>
      </c>
      <c r="E8" s="1">
        <v>120</v>
      </c>
      <c r="F8" s="1"/>
      <c r="G8" s="1">
        <v>4</v>
      </c>
      <c r="H8" s="1"/>
      <c r="I8" s="1">
        <v>180</v>
      </c>
      <c r="J8" s="1"/>
      <c r="K8" s="1"/>
      <c r="L8" s="1">
        <v>2</v>
      </c>
      <c r="M8" s="1">
        <v>1</v>
      </c>
      <c r="N8" s="1">
        <v>2</v>
      </c>
      <c r="O8" s="1">
        <v>1</v>
      </c>
      <c r="P8" s="1"/>
      <c r="Q8" s="1"/>
      <c r="R8" s="1"/>
      <c r="S8" s="1"/>
      <c r="T8" s="1"/>
      <c r="U8" s="1"/>
      <c r="V8" s="1"/>
      <c r="W8" s="1"/>
      <c r="X8" s="1"/>
      <c r="Y8" s="3">
        <v>295320</v>
      </c>
      <c r="Z8" s="3">
        <v>4330</v>
      </c>
      <c r="AA8" s="3"/>
      <c r="AB8" s="4">
        <f t="shared" si="0"/>
        <v>299650</v>
      </c>
    </row>
    <row r="9" spans="1:28" x14ac:dyDescent="0.25">
      <c r="A9" s="1">
        <v>5</v>
      </c>
      <c r="B9" s="2" t="s">
        <v>47</v>
      </c>
      <c r="C9" s="2" t="s">
        <v>48</v>
      </c>
      <c r="D9" s="1">
        <v>920</v>
      </c>
      <c r="E9" s="1">
        <v>75</v>
      </c>
      <c r="F9" s="1"/>
      <c r="G9" s="1"/>
      <c r="H9" s="1"/>
      <c r="I9" s="1">
        <v>25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>
        <v>299284</v>
      </c>
      <c r="Z9" s="3"/>
      <c r="AA9" s="3"/>
      <c r="AB9" s="4">
        <f t="shared" si="0"/>
        <v>299284</v>
      </c>
    </row>
    <row r="10" spans="1:28" x14ac:dyDescent="0.25">
      <c r="A10" s="1">
        <v>6</v>
      </c>
      <c r="B10" s="2" t="s">
        <v>49</v>
      </c>
      <c r="C10" s="2" t="s">
        <v>50</v>
      </c>
      <c r="D10" s="1">
        <v>990</v>
      </c>
      <c r="E10" s="1">
        <v>70</v>
      </c>
      <c r="F10" s="1"/>
      <c r="G10" s="1"/>
      <c r="H10" s="1"/>
      <c r="I10" s="1"/>
      <c r="J10" s="1"/>
      <c r="K10" s="1"/>
      <c r="L10" s="1">
        <v>5</v>
      </c>
      <c r="M10" s="1">
        <v>5</v>
      </c>
      <c r="N10" s="1">
        <v>5</v>
      </c>
      <c r="O10" s="1">
        <v>5</v>
      </c>
      <c r="P10" s="1"/>
      <c r="Q10" s="1"/>
      <c r="R10" s="1"/>
      <c r="S10" s="1"/>
      <c r="T10" s="1"/>
      <c r="U10" s="1"/>
      <c r="V10" s="1"/>
      <c r="W10" s="1"/>
      <c r="X10" s="1"/>
      <c r="Y10" s="3">
        <v>285356</v>
      </c>
      <c r="Z10" s="3">
        <v>15151</v>
      </c>
      <c r="AA10" s="3"/>
      <c r="AB10" s="4">
        <f t="shared" si="0"/>
        <v>300507</v>
      </c>
    </row>
    <row r="11" spans="1:28" x14ac:dyDescent="0.25">
      <c r="A11" s="1">
        <v>7</v>
      </c>
      <c r="B11" s="2" t="s">
        <v>51</v>
      </c>
      <c r="C11" s="2" t="s">
        <v>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3"/>
      <c r="AA11" s="3"/>
      <c r="AB11" s="4">
        <f t="shared" si="0"/>
        <v>0</v>
      </c>
    </row>
    <row r="12" spans="1:28" x14ac:dyDescent="0.25">
      <c r="A12" s="1">
        <v>8</v>
      </c>
      <c r="B12" s="6" t="s">
        <v>53</v>
      </c>
      <c r="C12" s="2" t="s">
        <v>54</v>
      </c>
      <c r="D12" s="1">
        <f>700+500+800</f>
        <v>2000</v>
      </c>
      <c r="E12" s="1">
        <f>86+300+350</f>
        <v>736</v>
      </c>
      <c r="F12" s="1"/>
      <c r="G12" s="1">
        <v>25</v>
      </c>
      <c r="H12" s="1">
        <v>25</v>
      </c>
      <c r="I12" s="1">
        <f>50+50</f>
        <v>100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>
        <f>269286+350135+391047</f>
        <v>1010468</v>
      </c>
      <c r="Z12" s="3"/>
      <c r="AA12" s="3"/>
      <c r="AB12" s="4">
        <f t="shared" si="0"/>
        <v>1010468</v>
      </c>
    </row>
    <row r="13" spans="1:28" x14ac:dyDescent="0.25">
      <c r="A13" s="1">
        <v>9</v>
      </c>
      <c r="B13" s="2" t="s">
        <v>55</v>
      </c>
      <c r="C13" s="2" t="s">
        <v>56</v>
      </c>
      <c r="D13" s="1">
        <f>600+600</f>
        <v>1200</v>
      </c>
      <c r="E13" s="1">
        <f>150+150</f>
        <v>300</v>
      </c>
      <c r="F13" s="1"/>
      <c r="G13" s="1">
        <f>20+30</f>
        <v>50</v>
      </c>
      <c r="H13" s="1"/>
      <c r="I13" s="1">
        <f>60+50</f>
        <v>110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>
        <f>302438+293370</f>
        <v>595808</v>
      </c>
      <c r="Z13" s="3"/>
      <c r="AA13" s="3"/>
      <c r="AB13" s="4">
        <f t="shared" si="0"/>
        <v>595808</v>
      </c>
    </row>
    <row r="14" spans="1:28" x14ac:dyDescent="0.25">
      <c r="A14" s="1"/>
      <c r="B14" s="28" t="s">
        <v>57</v>
      </c>
      <c r="C14" s="28" t="s">
        <v>58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3"/>
      <c r="AA14" s="3"/>
      <c r="AB14" s="4">
        <f t="shared" si="0"/>
        <v>0</v>
      </c>
    </row>
    <row r="15" spans="1:28" x14ac:dyDescent="0.25">
      <c r="A15" s="1">
        <v>10</v>
      </c>
      <c r="B15" s="2" t="s">
        <v>160</v>
      </c>
      <c r="C15" s="2" t="s">
        <v>161</v>
      </c>
      <c r="D15" s="1">
        <v>550</v>
      </c>
      <c r="E15" s="1">
        <v>200</v>
      </c>
      <c r="F15" s="1"/>
      <c r="G15" s="1">
        <v>20</v>
      </c>
      <c r="H15" s="1">
        <v>20</v>
      </c>
      <c r="I15" s="1">
        <v>110</v>
      </c>
      <c r="J15" s="1"/>
      <c r="K15" s="1"/>
      <c r="L15" s="1">
        <v>7</v>
      </c>
      <c r="M15" s="1">
        <v>10</v>
      </c>
      <c r="N15" s="1">
        <v>13</v>
      </c>
      <c r="O15" s="1">
        <v>10</v>
      </c>
      <c r="P15" s="1"/>
      <c r="Q15" s="1"/>
      <c r="R15" s="1"/>
      <c r="S15" s="1"/>
      <c r="T15" s="1"/>
      <c r="U15" s="1"/>
      <c r="V15" s="1"/>
      <c r="W15" s="1"/>
      <c r="X15" s="1"/>
      <c r="Y15" s="3">
        <v>370378</v>
      </c>
      <c r="Z15" s="3">
        <v>30303</v>
      </c>
      <c r="AA15" s="3"/>
      <c r="AB15" s="4">
        <f t="shared" si="0"/>
        <v>400681</v>
      </c>
    </row>
    <row r="16" spans="1:28" x14ac:dyDescent="0.25">
      <c r="A16" s="1"/>
      <c r="B16" s="28" t="s">
        <v>59</v>
      </c>
      <c r="C16" s="28" t="s">
        <v>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3"/>
      <c r="AA16" s="3"/>
      <c r="AB16" s="4">
        <f t="shared" si="0"/>
        <v>0</v>
      </c>
    </row>
    <row r="17" spans="1:28" x14ac:dyDescent="0.25">
      <c r="A17" s="1">
        <v>11</v>
      </c>
      <c r="B17" s="2" t="s">
        <v>159</v>
      </c>
      <c r="C17" s="2" t="s">
        <v>60</v>
      </c>
      <c r="D17" s="1">
        <v>600</v>
      </c>
      <c r="E17" s="1">
        <v>200</v>
      </c>
      <c r="F17" s="1"/>
      <c r="G17" s="1">
        <v>31</v>
      </c>
      <c r="H17" s="1"/>
      <c r="I17" s="1">
        <v>75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>
        <v>350780</v>
      </c>
      <c r="Z17" s="3"/>
      <c r="AA17" s="3"/>
      <c r="AB17" s="4">
        <f t="shared" si="0"/>
        <v>350780</v>
      </c>
    </row>
    <row r="18" spans="1:28" x14ac:dyDescent="0.25">
      <c r="A18" s="1">
        <v>12</v>
      </c>
      <c r="B18" s="2" t="s">
        <v>61</v>
      </c>
      <c r="C18" s="2" t="s">
        <v>62</v>
      </c>
      <c r="D18" s="1">
        <f>1150+700</f>
        <v>1850</v>
      </c>
      <c r="E18" s="1">
        <f>175+380</f>
        <v>555</v>
      </c>
      <c r="F18" s="1"/>
      <c r="G18" s="1">
        <v>10</v>
      </c>
      <c r="H18" s="1"/>
      <c r="I18" s="1">
        <f>125+165</f>
        <v>290</v>
      </c>
      <c r="J18" s="1"/>
      <c r="K18" s="1"/>
      <c r="L18" s="1">
        <f>5</f>
        <v>5</v>
      </c>
      <c r="M18" s="1"/>
      <c r="N18" s="1">
        <f>5+3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3">
        <f>496629+529170</f>
        <v>1025799</v>
      </c>
      <c r="Z18" s="3">
        <f>6499+1950</f>
        <v>8449</v>
      </c>
      <c r="AA18" s="3"/>
      <c r="AB18" s="4">
        <f t="shared" si="0"/>
        <v>1034248</v>
      </c>
    </row>
    <row r="19" spans="1:28" x14ac:dyDescent="0.25">
      <c r="A19" s="1">
        <v>13</v>
      </c>
      <c r="B19" s="2" t="s">
        <v>63</v>
      </c>
      <c r="C19" s="2" t="s">
        <v>64</v>
      </c>
      <c r="D19" s="1">
        <f>795+850</f>
        <v>1645</v>
      </c>
      <c r="E19" s="1">
        <f>100+80</f>
        <v>180</v>
      </c>
      <c r="F19" s="1"/>
      <c r="G19" s="1">
        <f>10+6</f>
        <v>16</v>
      </c>
      <c r="H19" s="1">
        <v>5</v>
      </c>
      <c r="I19" s="1">
        <f>30+20</f>
        <v>50</v>
      </c>
      <c r="J19" s="1"/>
      <c r="K19" s="1"/>
      <c r="L19" s="1">
        <f>6+10</f>
        <v>16</v>
      </c>
      <c r="M19" s="1"/>
      <c r="N19" s="1">
        <f>6+10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3">
        <f>292748+279405</f>
        <v>572153</v>
      </c>
      <c r="Z19" s="3">
        <f>7799+12998</f>
        <v>20797</v>
      </c>
      <c r="AA19" s="3"/>
      <c r="AB19" s="4">
        <f t="shared" si="0"/>
        <v>592950</v>
      </c>
    </row>
    <row r="20" spans="1:28" x14ac:dyDescent="0.25">
      <c r="A20" s="1">
        <v>14</v>
      </c>
      <c r="B20" s="6" t="s">
        <v>65</v>
      </c>
      <c r="C20" s="2" t="s">
        <v>66</v>
      </c>
      <c r="D20" s="1">
        <v>1119</v>
      </c>
      <c r="E20" s="1">
        <v>300</v>
      </c>
      <c r="F20" s="1"/>
      <c r="G20" s="1"/>
      <c r="H20" s="1">
        <v>10</v>
      </c>
      <c r="I20" s="1">
        <v>100</v>
      </c>
      <c r="J20" s="1"/>
      <c r="K20" s="1"/>
      <c r="L20" s="1">
        <v>8</v>
      </c>
      <c r="M20" s="1">
        <v>6</v>
      </c>
      <c r="N20" s="1">
        <v>2</v>
      </c>
      <c r="O20" s="1">
        <v>4</v>
      </c>
      <c r="P20" s="1"/>
      <c r="Q20" s="1"/>
      <c r="R20" s="1"/>
      <c r="S20" s="1"/>
      <c r="T20" s="1"/>
      <c r="U20" s="1"/>
      <c r="V20" s="1"/>
      <c r="W20" s="1"/>
      <c r="X20" s="1"/>
      <c r="Y20" s="3">
        <v>538138</v>
      </c>
      <c r="Z20" s="3">
        <v>15152</v>
      </c>
      <c r="AA20" s="3"/>
      <c r="AB20" s="4">
        <f t="shared" si="0"/>
        <v>553290</v>
      </c>
    </row>
    <row r="21" spans="1:28" x14ac:dyDescent="0.25">
      <c r="A21" s="1">
        <v>15</v>
      </c>
      <c r="B21" s="6" t="s">
        <v>67</v>
      </c>
      <c r="C21" s="2" t="s">
        <v>68</v>
      </c>
      <c r="D21" s="1">
        <v>400</v>
      </c>
      <c r="E21" s="1">
        <v>500</v>
      </c>
      <c r="F21" s="1"/>
      <c r="G21" s="1"/>
      <c r="H21" s="1"/>
      <c r="I21" s="1"/>
      <c r="J21" s="1"/>
      <c r="K21" s="1"/>
      <c r="L21" s="1">
        <v>30</v>
      </c>
      <c r="M21" s="1">
        <v>5</v>
      </c>
      <c r="N21" s="1">
        <v>10</v>
      </c>
      <c r="O21" s="1">
        <v>5</v>
      </c>
      <c r="P21" s="1"/>
      <c r="Q21" s="1"/>
      <c r="R21" s="1"/>
      <c r="S21" s="1"/>
      <c r="T21" s="1"/>
      <c r="U21" s="1"/>
      <c r="V21" s="1"/>
      <c r="W21" s="1"/>
      <c r="X21" s="1"/>
      <c r="Y21" s="3">
        <v>356289</v>
      </c>
      <c r="Z21" s="3">
        <v>34123</v>
      </c>
      <c r="AA21" s="3"/>
      <c r="AB21" s="4">
        <f t="shared" si="0"/>
        <v>390412</v>
      </c>
    </row>
    <row r="22" spans="1:28" x14ac:dyDescent="0.25">
      <c r="A22" s="1">
        <v>16</v>
      </c>
      <c r="B22" s="6" t="s">
        <v>69</v>
      </c>
      <c r="C22" s="2" t="s">
        <v>70</v>
      </c>
      <c r="D22" s="1">
        <f>400</f>
        <v>400</v>
      </c>
      <c r="E22" s="1">
        <f>380</f>
        <v>380</v>
      </c>
      <c r="F22" s="1"/>
      <c r="G22" s="1"/>
      <c r="H22" s="1"/>
      <c r="I22" s="1">
        <f>75</f>
        <v>75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>
        <f>358186</f>
        <v>358186</v>
      </c>
      <c r="Z22" s="3"/>
      <c r="AA22" s="3"/>
      <c r="AB22" s="4">
        <f t="shared" si="0"/>
        <v>358186</v>
      </c>
    </row>
    <row r="23" spans="1:28" x14ac:dyDescent="0.25">
      <c r="A23" s="1">
        <v>17</v>
      </c>
      <c r="B23" s="6" t="s">
        <v>164</v>
      </c>
      <c r="C23" s="2" t="s">
        <v>165</v>
      </c>
      <c r="D23" s="1">
        <v>350</v>
      </c>
      <c r="E23" s="1">
        <v>300</v>
      </c>
      <c r="F23" s="1"/>
      <c r="G23" s="1"/>
      <c r="H23" s="1"/>
      <c r="I23" s="1">
        <v>130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>
        <v>350058</v>
      </c>
      <c r="Z23" s="3"/>
      <c r="AA23" s="3"/>
      <c r="AB23" s="4">
        <f t="shared" si="0"/>
        <v>350058</v>
      </c>
    </row>
    <row r="24" spans="1:28" x14ac:dyDescent="0.25">
      <c r="A24" s="1">
        <v>18</v>
      </c>
      <c r="B24" s="2" t="s">
        <v>71</v>
      </c>
      <c r="C24" s="2" t="s">
        <v>72</v>
      </c>
      <c r="D24" s="1">
        <v>625</v>
      </c>
      <c r="E24" s="1">
        <v>330</v>
      </c>
      <c r="F24" s="1"/>
      <c r="G24" s="1">
        <v>15</v>
      </c>
      <c r="H24" s="1">
        <v>15</v>
      </c>
      <c r="I24" s="1">
        <v>30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>
        <v>368214</v>
      </c>
      <c r="Z24" s="3"/>
      <c r="AA24" s="3"/>
      <c r="AB24" s="4">
        <f t="shared" si="0"/>
        <v>368214</v>
      </c>
    </row>
    <row r="25" spans="1:28" x14ac:dyDescent="0.25">
      <c r="A25" s="1">
        <v>19</v>
      </c>
      <c r="B25" s="2" t="s">
        <v>73</v>
      </c>
      <c r="C25" s="2" t="s">
        <v>74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/>
      <c r="Z25" s="3"/>
      <c r="AA25" s="3"/>
      <c r="AB25" s="4">
        <f t="shared" si="0"/>
        <v>0</v>
      </c>
    </row>
    <row r="26" spans="1:28" x14ac:dyDescent="0.25">
      <c r="A26" s="1">
        <v>20</v>
      </c>
      <c r="B26" s="2" t="s">
        <v>75</v>
      </c>
      <c r="C26" s="2" t="s">
        <v>76</v>
      </c>
      <c r="D26" s="7">
        <v>655</v>
      </c>
      <c r="E26" s="7">
        <v>170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8">
        <v>258388</v>
      </c>
      <c r="Z26" s="8"/>
      <c r="AA26" s="8"/>
      <c r="AB26" s="4">
        <f t="shared" si="0"/>
        <v>258388</v>
      </c>
    </row>
    <row r="27" spans="1:28" x14ac:dyDescent="0.25">
      <c r="A27" s="1">
        <v>21</v>
      </c>
      <c r="B27" s="2" t="s">
        <v>77</v>
      </c>
      <c r="C27" s="2" t="s">
        <v>78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8"/>
      <c r="Z27" s="8"/>
      <c r="AA27" s="8"/>
      <c r="AB27" s="4">
        <f t="shared" si="0"/>
        <v>0</v>
      </c>
    </row>
    <row r="28" spans="1:28" x14ac:dyDescent="0.25">
      <c r="A28" s="1">
        <v>22</v>
      </c>
      <c r="B28" s="2" t="s">
        <v>79</v>
      </c>
      <c r="C28" s="2" t="s">
        <v>80</v>
      </c>
      <c r="D28" s="7">
        <f>820+700</f>
        <v>1520</v>
      </c>
      <c r="E28" s="7">
        <f>300+200</f>
        <v>500</v>
      </c>
      <c r="F28" s="7"/>
      <c r="G28" s="7"/>
      <c r="H28" s="7"/>
      <c r="I28" s="7">
        <f>200+100</f>
        <v>300</v>
      </c>
      <c r="J28" s="7"/>
      <c r="K28" s="7"/>
      <c r="L28" s="7">
        <v>5</v>
      </c>
      <c r="M28" s="7">
        <v>5</v>
      </c>
      <c r="N28" s="7">
        <v>5</v>
      </c>
      <c r="O28" s="7">
        <v>5</v>
      </c>
      <c r="P28" s="7"/>
      <c r="Q28" s="7"/>
      <c r="R28" s="7"/>
      <c r="S28" s="7"/>
      <c r="T28" s="7"/>
      <c r="U28" s="7"/>
      <c r="V28" s="7"/>
      <c r="W28" s="7"/>
      <c r="X28" s="7"/>
      <c r="Y28" s="8">
        <f>540114+360083</f>
        <v>900197</v>
      </c>
      <c r="Z28" s="8">
        <v>15151</v>
      </c>
      <c r="AA28" s="8"/>
      <c r="AB28" s="4">
        <f t="shared" si="0"/>
        <v>915348</v>
      </c>
    </row>
    <row r="29" spans="1:28" x14ac:dyDescent="0.25">
      <c r="A29" s="1">
        <v>23</v>
      </c>
      <c r="B29" s="2" t="s">
        <v>81</v>
      </c>
      <c r="C29" s="2" t="s">
        <v>82</v>
      </c>
      <c r="D29" s="1">
        <v>555</v>
      </c>
      <c r="E29" s="1">
        <v>200</v>
      </c>
      <c r="F29" s="1"/>
      <c r="G29" s="1"/>
      <c r="H29" s="1">
        <v>15</v>
      </c>
      <c r="I29" s="1">
        <v>50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">
        <v>299927</v>
      </c>
      <c r="Z29" s="3"/>
      <c r="AA29" s="3"/>
      <c r="AB29" s="4">
        <f t="shared" si="0"/>
        <v>299927</v>
      </c>
    </row>
    <row r="30" spans="1:28" x14ac:dyDescent="0.25">
      <c r="A30" s="1">
        <v>24</v>
      </c>
      <c r="B30" s="2" t="s">
        <v>156</v>
      </c>
      <c r="C30" s="2" t="s">
        <v>157</v>
      </c>
      <c r="D30" s="1">
        <v>970</v>
      </c>
      <c r="E30" s="1">
        <v>200</v>
      </c>
      <c r="F30" s="1"/>
      <c r="G30" s="1">
        <v>10</v>
      </c>
      <c r="H30" s="1"/>
      <c r="I30" s="1">
        <v>50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3">
        <v>395048</v>
      </c>
      <c r="Z30" s="3"/>
      <c r="AA30" s="3"/>
      <c r="AB30" s="4">
        <f t="shared" si="0"/>
        <v>395048</v>
      </c>
    </row>
    <row r="31" spans="1:28" x14ac:dyDescent="0.25">
      <c r="A31" s="1">
        <v>25</v>
      </c>
      <c r="B31" s="2" t="s">
        <v>162</v>
      </c>
      <c r="C31" s="2" t="s">
        <v>163</v>
      </c>
      <c r="D31" s="1">
        <v>777</v>
      </c>
      <c r="E31" s="1">
        <v>300</v>
      </c>
      <c r="F31" s="1"/>
      <c r="G31" s="1">
        <v>20</v>
      </c>
      <c r="H31" s="1">
        <v>20</v>
      </c>
      <c r="I31" s="1">
        <v>80</v>
      </c>
      <c r="J31" s="1"/>
      <c r="K31" s="1"/>
      <c r="L31" s="1">
        <v>5</v>
      </c>
      <c r="M31" s="1">
        <v>5</v>
      </c>
      <c r="N31" s="1">
        <v>5</v>
      </c>
      <c r="O31" s="1">
        <v>5</v>
      </c>
      <c r="P31" s="1"/>
      <c r="Q31" s="1"/>
      <c r="R31" s="1"/>
      <c r="S31" s="1"/>
      <c r="T31" s="1"/>
      <c r="U31" s="1"/>
      <c r="V31" s="1"/>
      <c r="W31" s="1"/>
      <c r="X31" s="1"/>
      <c r="Y31" s="3">
        <v>450157</v>
      </c>
      <c r="Z31" s="3">
        <v>15427</v>
      </c>
      <c r="AA31" s="3"/>
      <c r="AB31" s="4">
        <f t="shared" si="0"/>
        <v>465584</v>
      </c>
    </row>
    <row r="32" spans="1:28" x14ac:dyDescent="0.25">
      <c r="A32" s="1">
        <v>26</v>
      </c>
      <c r="B32" s="2" t="s">
        <v>83</v>
      </c>
      <c r="C32" s="2" t="s">
        <v>84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"/>
      <c r="Z32" s="3"/>
      <c r="AA32" s="3"/>
      <c r="AB32" s="4">
        <f t="shared" si="0"/>
        <v>0</v>
      </c>
    </row>
    <row r="33" spans="1:28" x14ac:dyDescent="0.25">
      <c r="A33" s="1">
        <v>27</v>
      </c>
      <c r="B33" s="2" t="s">
        <v>85</v>
      </c>
      <c r="C33" s="2" t="s">
        <v>86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3"/>
      <c r="AA33" s="3"/>
      <c r="AB33" s="4">
        <f t="shared" si="0"/>
        <v>0</v>
      </c>
    </row>
    <row r="34" spans="1:28" x14ac:dyDescent="0.25">
      <c r="A34" s="1">
        <v>28</v>
      </c>
      <c r="B34" s="2" t="s">
        <v>87</v>
      </c>
      <c r="C34" s="2" t="s">
        <v>88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"/>
      <c r="Z34" s="3"/>
      <c r="AA34" s="3"/>
      <c r="AB34" s="4">
        <f t="shared" si="0"/>
        <v>0</v>
      </c>
    </row>
    <row r="35" spans="1:28" x14ac:dyDescent="0.25">
      <c r="A35" s="1">
        <v>29</v>
      </c>
      <c r="B35" s="2" t="s">
        <v>89</v>
      </c>
      <c r="C35" s="2" t="s">
        <v>90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"/>
      <c r="Z35" s="3"/>
      <c r="AA35" s="3"/>
      <c r="AB35" s="4">
        <f t="shared" si="0"/>
        <v>0</v>
      </c>
    </row>
    <row r="36" spans="1:28" x14ac:dyDescent="0.25">
      <c r="A36" s="1">
        <v>30</v>
      </c>
      <c r="B36" s="2" t="s">
        <v>91</v>
      </c>
      <c r="C36" s="2" t="s">
        <v>92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"/>
      <c r="Z36" s="3"/>
      <c r="AA36" s="3"/>
      <c r="AB36" s="4">
        <f t="shared" si="0"/>
        <v>0</v>
      </c>
    </row>
    <row r="37" spans="1:28" x14ac:dyDescent="0.25">
      <c r="A37" s="1">
        <v>31</v>
      </c>
      <c r="B37" s="2" t="s">
        <v>93</v>
      </c>
      <c r="C37" s="2" t="s">
        <v>94</v>
      </c>
      <c r="D37" s="1">
        <v>1300</v>
      </c>
      <c r="E37" s="1">
        <v>900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">
        <v>957625</v>
      </c>
      <c r="Z37" s="3"/>
      <c r="AA37" s="3"/>
      <c r="AB37" s="4">
        <f t="shared" si="0"/>
        <v>957625</v>
      </c>
    </row>
    <row r="38" spans="1:28" x14ac:dyDescent="0.25">
      <c r="A38" s="1">
        <v>32</v>
      </c>
      <c r="B38" s="2" t="s">
        <v>95</v>
      </c>
      <c r="C38" s="2" t="s">
        <v>96</v>
      </c>
      <c r="D38" s="1">
        <v>650</v>
      </c>
      <c r="E38" s="1">
        <v>270</v>
      </c>
      <c r="F38" s="1"/>
      <c r="G38" s="1"/>
      <c r="H38" s="1"/>
      <c r="I38" s="1">
        <v>30</v>
      </c>
      <c r="J38" s="1">
        <v>25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>
        <v>427224</v>
      </c>
      <c r="Z38" s="3"/>
      <c r="AA38" s="3"/>
      <c r="AB38" s="4">
        <f t="shared" si="0"/>
        <v>427224</v>
      </c>
    </row>
    <row r="39" spans="1:28" x14ac:dyDescent="0.25">
      <c r="A39" s="1">
        <v>33</v>
      </c>
      <c r="B39" s="2" t="s">
        <v>97</v>
      </c>
      <c r="C39" s="2" t="s">
        <v>98</v>
      </c>
      <c r="D39" s="1">
        <f>300+300</f>
        <v>600</v>
      </c>
      <c r="E39" s="1">
        <v>200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>
        <v>379436</v>
      </c>
      <c r="Z39" s="3"/>
      <c r="AA39" s="3"/>
      <c r="AB39" s="4">
        <f t="shared" si="0"/>
        <v>379436</v>
      </c>
    </row>
    <row r="40" spans="1:28" x14ac:dyDescent="0.25">
      <c r="A40" s="1">
        <v>34</v>
      </c>
      <c r="B40" s="2" t="s">
        <v>99</v>
      </c>
      <c r="C40" s="2" t="s">
        <v>100</v>
      </c>
      <c r="D40" s="1">
        <v>300</v>
      </c>
      <c r="E40" s="1">
        <v>1700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">
        <v>1029899</v>
      </c>
      <c r="Z40" s="3"/>
      <c r="AA40" s="3"/>
      <c r="AB40" s="4">
        <f t="shared" si="0"/>
        <v>1029899</v>
      </c>
    </row>
    <row r="41" spans="1:28" x14ac:dyDescent="0.25">
      <c r="A41" s="1">
        <v>35</v>
      </c>
      <c r="B41" s="2" t="s">
        <v>101</v>
      </c>
      <c r="C41" s="2" t="s">
        <v>102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"/>
      <c r="Z41" s="3"/>
      <c r="AA41" s="3"/>
      <c r="AB41" s="4">
        <f t="shared" si="0"/>
        <v>0</v>
      </c>
    </row>
    <row r="42" spans="1:28" x14ac:dyDescent="0.25">
      <c r="A42" s="1">
        <v>36</v>
      </c>
      <c r="B42" s="2" t="s">
        <v>103</v>
      </c>
      <c r="C42" s="2" t="s">
        <v>104</v>
      </c>
      <c r="D42" s="1">
        <v>252</v>
      </c>
      <c r="E42" s="1">
        <v>350</v>
      </c>
      <c r="F42" s="1"/>
      <c r="G42" s="1"/>
      <c r="H42" s="1"/>
      <c r="I42" s="1">
        <v>20</v>
      </c>
      <c r="J42" s="1">
        <v>70</v>
      </c>
      <c r="K42" s="1"/>
      <c r="L42" s="1"/>
      <c r="M42" s="1">
        <v>13</v>
      </c>
      <c r="N42" s="1">
        <v>15</v>
      </c>
      <c r="O42" s="1">
        <v>13</v>
      </c>
      <c r="P42" s="1"/>
      <c r="Q42" s="1"/>
      <c r="R42" s="1"/>
      <c r="S42" s="1"/>
      <c r="T42" s="1"/>
      <c r="U42" s="1"/>
      <c r="V42" s="1"/>
      <c r="W42" s="1"/>
      <c r="X42" s="1"/>
      <c r="Y42" s="3">
        <v>398573</v>
      </c>
      <c r="Z42" s="3">
        <v>33230</v>
      </c>
      <c r="AA42" s="3"/>
      <c r="AB42" s="4">
        <f t="shared" si="0"/>
        <v>431803</v>
      </c>
    </row>
    <row r="43" spans="1:28" x14ac:dyDescent="0.25">
      <c r="A43" s="1">
        <v>37</v>
      </c>
      <c r="B43" s="2" t="s">
        <v>152</v>
      </c>
      <c r="C43" s="2" t="s">
        <v>154</v>
      </c>
      <c r="D43" s="1">
        <v>250</v>
      </c>
      <c r="E43" s="1">
        <v>170</v>
      </c>
      <c r="F43" s="1"/>
      <c r="G43" s="1"/>
      <c r="H43" s="1"/>
      <c r="I43" s="1">
        <v>25</v>
      </c>
      <c r="J43" s="1">
        <v>25</v>
      </c>
      <c r="K43" s="1"/>
      <c r="L43" s="1">
        <v>5</v>
      </c>
      <c r="M43" s="1">
        <v>5</v>
      </c>
      <c r="N43" s="1">
        <v>5</v>
      </c>
      <c r="O43" s="1">
        <v>5</v>
      </c>
      <c r="P43" s="1"/>
      <c r="Q43" s="1"/>
      <c r="R43" s="1"/>
      <c r="S43" s="1"/>
      <c r="T43" s="1"/>
      <c r="U43" s="1"/>
      <c r="V43" s="1"/>
      <c r="W43" s="1"/>
      <c r="X43" s="1"/>
      <c r="Y43" s="3">
        <v>269229</v>
      </c>
      <c r="Z43" s="3">
        <v>15852</v>
      </c>
      <c r="AA43" s="3"/>
      <c r="AB43" s="4">
        <f t="shared" si="0"/>
        <v>285081</v>
      </c>
    </row>
    <row r="44" spans="1:28" x14ac:dyDescent="0.25">
      <c r="A44" s="1">
        <v>38</v>
      </c>
      <c r="B44" s="2" t="s">
        <v>153</v>
      </c>
      <c r="C44" s="2" t="s">
        <v>155</v>
      </c>
      <c r="D44" s="1">
        <v>230</v>
      </c>
      <c r="E44" s="1">
        <v>150</v>
      </c>
      <c r="F44" s="1"/>
      <c r="G44" s="1"/>
      <c r="H44" s="1">
        <v>20</v>
      </c>
      <c r="I44" s="1">
        <v>25</v>
      </c>
      <c r="J44" s="1">
        <v>25</v>
      </c>
      <c r="K44" s="1"/>
      <c r="L44" s="1">
        <v>5</v>
      </c>
      <c r="M44" s="1">
        <v>5</v>
      </c>
      <c r="N44" s="1">
        <v>5</v>
      </c>
      <c r="O44" s="1">
        <v>5</v>
      </c>
      <c r="P44" s="1"/>
      <c r="Q44" s="1"/>
      <c r="R44" s="1"/>
      <c r="S44" s="1"/>
      <c r="T44" s="1"/>
      <c r="U44" s="1"/>
      <c r="V44" s="1"/>
      <c r="W44" s="1"/>
      <c r="X44" s="1"/>
      <c r="Y44" s="3">
        <v>260021</v>
      </c>
      <c r="Z44" s="3">
        <v>15852</v>
      </c>
      <c r="AA44" s="3"/>
      <c r="AB44" s="4">
        <f t="shared" si="0"/>
        <v>275873</v>
      </c>
    </row>
    <row r="45" spans="1:28" x14ac:dyDescent="0.25">
      <c r="A45" s="1">
        <v>39</v>
      </c>
      <c r="B45" s="2" t="s">
        <v>105</v>
      </c>
      <c r="C45" s="2" t="s">
        <v>106</v>
      </c>
      <c r="D45" s="1">
        <v>1207</v>
      </c>
      <c r="E45" s="1">
        <v>216</v>
      </c>
      <c r="F45" s="1"/>
      <c r="G45" s="1"/>
      <c r="H45" s="1"/>
      <c r="I45" s="1">
        <v>25</v>
      </c>
      <c r="J45" s="1"/>
      <c r="K45" s="1"/>
      <c r="L45" s="1">
        <v>25</v>
      </c>
      <c r="M45" s="1">
        <v>25</v>
      </c>
      <c r="N45" s="1">
        <v>25</v>
      </c>
      <c r="O45" s="1">
        <v>25</v>
      </c>
      <c r="P45" s="1"/>
      <c r="Q45" s="1"/>
      <c r="R45" s="1"/>
      <c r="S45" s="1"/>
      <c r="T45" s="1"/>
      <c r="U45" s="1"/>
      <c r="V45" s="1"/>
      <c r="W45" s="1"/>
      <c r="X45" s="1"/>
      <c r="Y45" s="3">
        <v>815841</v>
      </c>
      <c r="Z45" s="3">
        <v>78057</v>
      </c>
      <c r="AA45" s="3"/>
      <c r="AB45" s="4">
        <f t="shared" si="0"/>
        <v>893898</v>
      </c>
    </row>
    <row r="46" spans="1:28" x14ac:dyDescent="0.25">
      <c r="A46" s="1">
        <v>40</v>
      </c>
      <c r="B46" s="2" t="s">
        <v>107</v>
      </c>
      <c r="C46" s="2" t="s">
        <v>108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3"/>
      <c r="AA46" s="3"/>
      <c r="AB46" s="4">
        <f t="shared" si="0"/>
        <v>0</v>
      </c>
    </row>
    <row r="47" spans="1:28" x14ac:dyDescent="0.25">
      <c r="A47" s="1">
        <v>41</v>
      </c>
      <c r="B47" s="2" t="s">
        <v>109</v>
      </c>
      <c r="C47" s="2" t="s">
        <v>110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3"/>
      <c r="AA47" s="3"/>
      <c r="AB47" s="4">
        <f t="shared" si="0"/>
        <v>0</v>
      </c>
    </row>
    <row r="48" spans="1:28" x14ac:dyDescent="0.25">
      <c r="A48" s="1">
        <v>42</v>
      </c>
      <c r="B48" s="5" t="s">
        <v>111</v>
      </c>
      <c r="C48" s="2" t="s">
        <v>112</v>
      </c>
      <c r="D48" s="1">
        <v>300</v>
      </c>
      <c r="E48" s="1">
        <v>100</v>
      </c>
      <c r="F48" s="1"/>
      <c r="G48" s="1">
        <v>10</v>
      </c>
      <c r="H48" s="1">
        <v>10</v>
      </c>
      <c r="I48" s="1">
        <v>35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>
        <v>174545</v>
      </c>
      <c r="Z48" s="3"/>
      <c r="AA48" s="3"/>
      <c r="AB48" s="4">
        <f t="shared" si="0"/>
        <v>174545</v>
      </c>
    </row>
    <row r="49" spans="1:28" x14ac:dyDescent="0.25">
      <c r="A49" s="1">
        <v>43</v>
      </c>
      <c r="B49" s="2" t="s">
        <v>113</v>
      </c>
      <c r="C49" s="2" t="s">
        <v>114</v>
      </c>
      <c r="D49" s="1"/>
      <c r="E49" s="1"/>
      <c r="F49" s="1"/>
      <c r="G49" s="1">
        <v>10</v>
      </c>
      <c r="H49" s="1"/>
      <c r="I49" s="1">
        <v>98</v>
      </c>
      <c r="J49" s="1">
        <v>10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>
        <v>96189</v>
      </c>
      <c r="Z49" s="3"/>
      <c r="AA49" s="3"/>
      <c r="AB49" s="4">
        <f t="shared" si="0"/>
        <v>96189</v>
      </c>
    </row>
    <row r="50" spans="1:28" x14ac:dyDescent="0.25">
      <c r="A50" s="1">
        <v>44</v>
      </c>
      <c r="B50" s="2" t="s">
        <v>115</v>
      </c>
      <c r="C50" s="2" t="s">
        <v>116</v>
      </c>
      <c r="D50" s="1">
        <v>20</v>
      </c>
      <c r="E50" s="1">
        <v>10</v>
      </c>
      <c r="F50" s="1"/>
      <c r="G50" s="1"/>
      <c r="H50" s="1"/>
      <c r="I50" s="1">
        <v>150</v>
      </c>
      <c r="J50" s="1">
        <v>50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>
        <v>176774</v>
      </c>
      <c r="Z50" s="3"/>
      <c r="AA50" s="3"/>
      <c r="AB50" s="4">
        <f t="shared" si="0"/>
        <v>176774</v>
      </c>
    </row>
    <row r="51" spans="1:28" x14ac:dyDescent="0.25">
      <c r="A51" s="1">
        <v>45</v>
      </c>
      <c r="B51" s="2" t="s">
        <v>117</v>
      </c>
      <c r="C51" s="2" t="s">
        <v>118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3"/>
      <c r="AA51" s="3"/>
      <c r="AB51" s="4">
        <f t="shared" si="0"/>
        <v>0</v>
      </c>
    </row>
    <row r="52" spans="1:28" x14ac:dyDescent="0.25">
      <c r="A52" s="1">
        <v>46</v>
      </c>
      <c r="B52" s="2" t="s">
        <v>158</v>
      </c>
      <c r="C52" s="2" t="s">
        <v>118</v>
      </c>
      <c r="D52" s="1">
        <v>365</v>
      </c>
      <c r="E52" s="1">
        <v>170</v>
      </c>
      <c r="F52" s="1"/>
      <c r="G52" s="1"/>
      <c r="H52" s="1"/>
      <c r="I52" s="1">
        <v>20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>
        <v>200215</v>
      </c>
      <c r="Z52" s="3"/>
      <c r="AA52" s="3"/>
      <c r="AB52" s="4">
        <f t="shared" si="0"/>
        <v>200215</v>
      </c>
    </row>
    <row r="53" spans="1:28" x14ac:dyDescent="0.25">
      <c r="A53" s="1">
        <v>47</v>
      </c>
      <c r="B53" s="2" t="s">
        <v>119</v>
      </c>
      <c r="C53" s="2" t="s">
        <v>120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3"/>
      <c r="AA53" s="3"/>
      <c r="AB53" s="4">
        <f t="shared" si="0"/>
        <v>0</v>
      </c>
    </row>
    <row r="54" spans="1:28" x14ac:dyDescent="0.25">
      <c r="A54" s="1">
        <v>48</v>
      </c>
      <c r="B54" s="2" t="s">
        <v>121</v>
      </c>
      <c r="C54" s="2" t="s">
        <v>122</v>
      </c>
      <c r="D54" s="1">
        <v>650</v>
      </c>
      <c r="E54" s="1">
        <v>110</v>
      </c>
      <c r="F54" s="1"/>
      <c r="G54" s="1">
        <v>30</v>
      </c>
      <c r="H54" s="1">
        <v>5</v>
      </c>
      <c r="I54" s="1">
        <v>50</v>
      </c>
      <c r="J54" s="1"/>
      <c r="K54" s="1"/>
      <c r="L54" s="1">
        <v>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>
        <v>297765</v>
      </c>
      <c r="Z54" s="3">
        <v>3249</v>
      </c>
      <c r="AA54" s="3"/>
      <c r="AB54" s="4">
        <f t="shared" si="0"/>
        <v>301014</v>
      </c>
    </row>
    <row r="55" spans="1:28" x14ac:dyDescent="0.25">
      <c r="A55" s="1">
        <v>49</v>
      </c>
      <c r="B55" s="5" t="s">
        <v>123</v>
      </c>
      <c r="C55" s="2" t="s">
        <v>124</v>
      </c>
      <c r="D55" s="1">
        <v>240</v>
      </c>
      <c r="E55" s="1">
        <v>40</v>
      </c>
      <c r="F55" s="1"/>
      <c r="G55" s="1"/>
      <c r="H55" s="1"/>
      <c r="I55" s="1">
        <v>85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>
        <v>150731</v>
      </c>
      <c r="Z55" s="3"/>
      <c r="AA55" s="3"/>
      <c r="AB55" s="4">
        <f t="shared" si="0"/>
        <v>150731</v>
      </c>
    </row>
    <row r="56" spans="1:28" x14ac:dyDescent="0.25">
      <c r="A56" s="1">
        <v>50</v>
      </c>
      <c r="B56" s="5" t="s">
        <v>125</v>
      </c>
      <c r="C56" s="2" t="s">
        <v>126</v>
      </c>
      <c r="D56" s="1">
        <v>300</v>
      </c>
      <c r="E56" s="1">
        <v>50</v>
      </c>
      <c r="F56" s="1"/>
      <c r="G56" s="1"/>
      <c r="H56" s="1"/>
      <c r="I56" s="1">
        <v>60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>
        <v>150372</v>
      </c>
      <c r="Z56" s="3"/>
      <c r="AA56" s="3"/>
      <c r="AB56" s="4">
        <f t="shared" si="0"/>
        <v>150372</v>
      </c>
    </row>
    <row r="57" spans="1:28" x14ac:dyDescent="0.25">
      <c r="A57" s="1">
        <v>51</v>
      </c>
      <c r="B57" s="2" t="s">
        <v>127</v>
      </c>
      <c r="C57" s="2" t="s">
        <v>128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3"/>
      <c r="AA57" s="3"/>
      <c r="AB57" s="4">
        <f t="shared" si="0"/>
        <v>0</v>
      </c>
    </row>
    <row r="58" spans="1:28" x14ac:dyDescent="0.25">
      <c r="A58" s="1">
        <v>52</v>
      </c>
      <c r="B58" s="2" t="s">
        <v>129</v>
      </c>
      <c r="C58" s="2" t="s">
        <v>130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3"/>
      <c r="AA58" s="3"/>
      <c r="AB58" s="4">
        <f t="shared" si="0"/>
        <v>0</v>
      </c>
    </row>
    <row r="59" spans="1:28" x14ac:dyDescent="0.25">
      <c r="A59" s="1">
        <v>53</v>
      </c>
      <c r="B59" s="5" t="s">
        <v>131</v>
      </c>
      <c r="C59" s="5" t="s">
        <v>132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3"/>
      <c r="AA59" s="3"/>
      <c r="AB59" s="4">
        <f t="shared" si="0"/>
        <v>0</v>
      </c>
    </row>
    <row r="60" spans="1:28" x14ac:dyDescent="0.25">
      <c r="A60" s="1">
        <v>54</v>
      </c>
      <c r="B60" s="2" t="s">
        <v>133</v>
      </c>
      <c r="C60" s="2" t="s">
        <v>132</v>
      </c>
      <c r="D60" s="1">
        <v>275</v>
      </c>
      <c r="E60" s="1">
        <v>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>
        <v>50206</v>
      </c>
      <c r="Z60" s="3"/>
      <c r="AA60" s="3"/>
      <c r="AB60" s="4">
        <f t="shared" si="0"/>
        <v>50206</v>
      </c>
    </row>
    <row r="61" spans="1:28" x14ac:dyDescent="0.25">
      <c r="A61" s="1">
        <v>55</v>
      </c>
      <c r="B61" s="9" t="s">
        <v>134</v>
      </c>
      <c r="C61" s="2" t="s">
        <v>135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3"/>
      <c r="AA61" s="3"/>
      <c r="AB61" s="4">
        <f t="shared" si="0"/>
        <v>0</v>
      </c>
    </row>
    <row r="62" spans="1:28" x14ac:dyDescent="0.25">
      <c r="A62" s="1">
        <v>56</v>
      </c>
      <c r="B62" s="9" t="s">
        <v>136</v>
      </c>
      <c r="C62" s="2" t="s">
        <v>137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3"/>
      <c r="AA62" s="3"/>
      <c r="AB62" s="4">
        <f t="shared" si="0"/>
        <v>0</v>
      </c>
    </row>
    <row r="63" spans="1:28" x14ac:dyDescent="0.25">
      <c r="A63" s="1">
        <v>57</v>
      </c>
      <c r="B63" s="9" t="s">
        <v>138</v>
      </c>
      <c r="C63" s="2" t="s">
        <v>139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3"/>
      <c r="AA63" s="3"/>
      <c r="AB63" s="4">
        <f t="shared" si="0"/>
        <v>0</v>
      </c>
    </row>
    <row r="64" spans="1:28" x14ac:dyDescent="0.25">
      <c r="A64" s="1"/>
      <c r="B64" s="29" t="s">
        <v>140</v>
      </c>
      <c r="C64" s="28" t="s">
        <v>141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  <c r="AB64" s="4">
        <f t="shared" si="0"/>
        <v>0</v>
      </c>
    </row>
    <row r="65" spans="1:28" x14ac:dyDescent="0.25">
      <c r="A65" s="1">
        <v>58</v>
      </c>
      <c r="B65" s="9" t="s">
        <v>142</v>
      </c>
      <c r="C65" s="2" t="s">
        <v>143</v>
      </c>
      <c r="D65" s="1">
        <v>30</v>
      </c>
      <c r="E65" s="1">
        <v>25</v>
      </c>
      <c r="F65" s="1"/>
      <c r="G65" s="1">
        <v>10</v>
      </c>
      <c r="H65" s="1">
        <v>2</v>
      </c>
      <c r="I65" s="1">
        <v>20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>
        <v>50639</v>
      </c>
      <c r="Z65" s="3"/>
      <c r="AA65" s="3"/>
      <c r="AB65" s="4">
        <f t="shared" si="0"/>
        <v>50639</v>
      </c>
    </row>
    <row r="66" spans="1:28" x14ac:dyDescent="0.25">
      <c r="A66" s="1">
        <v>59</v>
      </c>
      <c r="B66" s="9" t="s">
        <v>144</v>
      </c>
      <c r="C66" s="2" t="s">
        <v>145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3"/>
      <c r="AA66" s="3"/>
      <c r="AB66" s="4">
        <f t="shared" si="0"/>
        <v>0</v>
      </c>
    </row>
    <row r="67" spans="1:28" x14ac:dyDescent="0.25">
      <c r="A67" s="1">
        <v>60</v>
      </c>
      <c r="B67" s="5" t="s">
        <v>146</v>
      </c>
      <c r="C67" s="2" t="s">
        <v>147</v>
      </c>
      <c r="D67" s="1">
        <v>25</v>
      </c>
      <c r="E67" s="1">
        <v>15</v>
      </c>
      <c r="F67" s="1"/>
      <c r="G67" s="1"/>
      <c r="H67" s="1"/>
      <c r="I67" s="1">
        <v>22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>
        <v>35116</v>
      </c>
      <c r="Z67" s="3"/>
      <c r="AA67" s="3"/>
      <c r="AB67" s="4">
        <f t="shared" si="0"/>
        <v>35116</v>
      </c>
    </row>
    <row r="68" spans="1:28" ht="15.75" thickBot="1" x14ac:dyDescent="0.3">
      <c r="A68" s="1">
        <v>61</v>
      </c>
      <c r="B68" s="10" t="s">
        <v>148</v>
      </c>
      <c r="C68" s="11" t="s">
        <v>149</v>
      </c>
      <c r="D68" s="12">
        <v>55</v>
      </c>
      <c r="E68" s="12">
        <v>5</v>
      </c>
      <c r="F68" s="12"/>
      <c r="G68" s="12"/>
      <c r="H68" s="12">
        <v>5</v>
      </c>
      <c r="I68" s="12">
        <v>15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3">
        <v>34721</v>
      </c>
      <c r="Z68" s="13"/>
      <c r="AA68" s="13"/>
      <c r="AB68" s="4">
        <f t="shared" si="0"/>
        <v>34721</v>
      </c>
    </row>
    <row r="69" spans="1:28" ht="15.75" thickBot="1" x14ac:dyDescent="0.3">
      <c r="A69" s="39" t="s">
        <v>150</v>
      </c>
      <c r="B69" s="40"/>
      <c r="C69" s="24"/>
      <c r="D69" s="25">
        <f t="shared" ref="D69:AA69" si="1">SUM(D5:D68)</f>
        <v>37537</v>
      </c>
      <c r="E69" s="25">
        <f t="shared" si="1"/>
        <v>11422</v>
      </c>
      <c r="F69" s="25">
        <f t="shared" si="1"/>
        <v>0</v>
      </c>
      <c r="G69" s="25">
        <f t="shared" si="1"/>
        <v>261</v>
      </c>
      <c r="H69" s="25">
        <f t="shared" si="1"/>
        <v>152</v>
      </c>
      <c r="I69" s="25">
        <f t="shared" si="1"/>
        <v>3234</v>
      </c>
      <c r="J69" s="25">
        <f t="shared" si="1"/>
        <v>205</v>
      </c>
      <c r="K69" s="25">
        <f t="shared" si="1"/>
        <v>0</v>
      </c>
      <c r="L69" s="25">
        <f t="shared" si="1"/>
        <v>163</v>
      </c>
      <c r="M69" s="25">
        <f t="shared" si="1"/>
        <v>110</v>
      </c>
      <c r="N69" s="25">
        <f t="shared" si="1"/>
        <v>151</v>
      </c>
      <c r="O69" s="25">
        <f t="shared" si="1"/>
        <v>108</v>
      </c>
      <c r="P69" s="25">
        <f t="shared" si="1"/>
        <v>0</v>
      </c>
      <c r="Q69" s="25">
        <f t="shared" si="1"/>
        <v>0</v>
      </c>
      <c r="R69" s="25">
        <f t="shared" si="1"/>
        <v>0</v>
      </c>
      <c r="S69" s="25">
        <f t="shared" si="1"/>
        <v>0</v>
      </c>
      <c r="T69" s="25">
        <f t="shared" si="1"/>
        <v>0</v>
      </c>
      <c r="U69" s="25">
        <f t="shared" si="1"/>
        <v>0</v>
      </c>
      <c r="V69" s="25">
        <f t="shared" si="1"/>
        <v>0</v>
      </c>
      <c r="W69" s="25">
        <f t="shared" si="1"/>
        <v>0</v>
      </c>
      <c r="X69" s="25">
        <f t="shared" si="1"/>
        <v>0</v>
      </c>
      <c r="Y69" s="26">
        <f t="shared" si="1"/>
        <v>19765950</v>
      </c>
      <c r="Z69" s="26">
        <f t="shared" si="1"/>
        <v>397128</v>
      </c>
      <c r="AA69" s="26">
        <f t="shared" si="1"/>
        <v>0</v>
      </c>
      <c r="AB69" s="27">
        <f t="shared" si="0"/>
        <v>20163078</v>
      </c>
    </row>
  </sheetData>
  <mergeCells count="3">
    <mergeCell ref="A1:AB1"/>
    <mergeCell ref="A2:AB2"/>
    <mergeCell ref="A69:B6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D1E6-FE08-453C-98F1-EA0C4334509A}">
  <dimension ref="A1:AB70"/>
  <sheetViews>
    <sheetView zoomScale="90" zoomScaleNormal="90" workbookViewId="0">
      <pane xSplit="3" ySplit="4" topLeftCell="D50" activePane="bottomRight" state="frozen"/>
      <selection pane="topRight" activeCell="D1" sqref="D1"/>
      <selection pane="bottomLeft" activeCell="A5" sqref="A5"/>
      <selection pane="bottomRight" activeCell="A70" sqref="A70:B70"/>
    </sheetView>
  </sheetViews>
  <sheetFormatPr defaultRowHeight="15" x14ac:dyDescent="0.25"/>
  <cols>
    <col min="1" max="1" width="6.42578125" bestFit="1" customWidth="1"/>
    <col min="2" max="2" width="27.140625" bestFit="1" customWidth="1"/>
    <col min="3" max="3" width="15.5703125" bestFit="1" customWidth="1"/>
    <col min="4" max="4" width="8.42578125" style="14" customWidth="1"/>
    <col min="5" max="5" width="9" style="14" customWidth="1"/>
    <col min="6" max="6" width="8.42578125" style="14" hidden="1" customWidth="1"/>
    <col min="7" max="7" width="8.42578125" style="14" customWidth="1"/>
    <col min="8" max="10" width="8.7109375" style="14" customWidth="1"/>
    <col min="11" max="11" width="8.7109375" style="14" hidden="1" customWidth="1"/>
    <col min="12" max="13" width="9" style="14" customWidth="1"/>
    <col min="14" max="14" width="8.7109375" style="14" customWidth="1"/>
    <col min="15" max="15" width="8.28515625" style="14" customWidth="1"/>
    <col min="16" max="16" width="8.7109375" style="14" hidden="1" customWidth="1"/>
    <col min="17" max="17" width="8.42578125" style="14" hidden="1" customWidth="1"/>
    <col min="18" max="20" width="8.85546875" style="14" hidden="1" customWidth="1"/>
    <col min="21" max="21" width="8.7109375" style="14" hidden="1" customWidth="1"/>
    <col min="22" max="22" width="8.85546875" style="14" hidden="1" customWidth="1"/>
    <col min="23" max="23" width="8.42578125" style="14" hidden="1" customWidth="1"/>
    <col min="24" max="24" width="9.28515625" style="14" hidden="1" customWidth="1"/>
    <col min="25" max="25" width="14.140625" style="14" bestFit="1" customWidth="1"/>
    <col min="26" max="26" width="12.5703125" style="14" bestFit="1" customWidth="1"/>
    <col min="27" max="27" width="10.7109375" style="14" hidden="1" customWidth="1"/>
    <col min="28" max="28" width="14.140625" bestFit="1" customWidth="1"/>
  </cols>
  <sheetData>
    <row r="1" spans="1:28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9.5" thickBot="1" x14ac:dyDescent="0.35">
      <c r="A2" s="38" t="s">
        <v>166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 ht="63.75" thickBot="1" x14ac:dyDescent="0.3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  <c r="Q3" s="17" t="s">
        <v>17</v>
      </c>
      <c r="R3" s="17" t="s">
        <v>18</v>
      </c>
      <c r="S3" s="17" t="s">
        <v>19</v>
      </c>
      <c r="T3" s="17" t="s">
        <v>20</v>
      </c>
      <c r="U3" s="17" t="s">
        <v>21</v>
      </c>
      <c r="V3" s="17" t="s">
        <v>22</v>
      </c>
      <c r="W3" s="17" t="s">
        <v>23</v>
      </c>
      <c r="X3" s="17" t="s">
        <v>24</v>
      </c>
      <c r="Y3" s="17" t="s">
        <v>25</v>
      </c>
      <c r="Z3" s="18" t="s">
        <v>26</v>
      </c>
      <c r="AA3" s="18" t="s">
        <v>27</v>
      </c>
      <c r="AB3" s="19" t="s">
        <v>28</v>
      </c>
    </row>
    <row r="4" spans="1:28" ht="15.75" thickBot="1" x14ac:dyDescent="0.3">
      <c r="A4" s="20"/>
      <c r="B4" s="21"/>
      <c r="C4" s="21"/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34</v>
      </c>
      <c r="L4" s="22" t="s">
        <v>36</v>
      </c>
      <c r="M4" s="22" t="s">
        <v>29</v>
      </c>
      <c r="N4" s="22" t="s">
        <v>36</v>
      </c>
      <c r="O4" s="22" t="s">
        <v>29</v>
      </c>
      <c r="P4" s="22" t="s">
        <v>37</v>
      </c>
      <c r="Q4" s="22" t="s">
        <v>37</v>
      </c>
      <c r="R4" s="22" t="s">
        <v>37</v>
      </c>
      <c r="S4" s="22" t="s">
        <v>37</v>
      </c>
      <c r="T4" s="22" t="s">
        <v>37</v>
      </c>
      <c r="U4" s="22" t="s">
        <v>37</v>
      </c>
      <c r="V4" s="22" t="s">
        <v>38</v>
      </c>
      <c r="W4" s="22" t="s">
        <v>38</v>
      </c>
      <c r="X4" s="22" t="s">
        <v>38</v>
      </c>
      <c r="Y4" s="22"/>
      <c r="Z4" s="22"/>
      <c r="AA4" s="22"/>
      <c r="AB4" s="23"/>
    </row>
    <row r="5" spans="1:28" x14ac:dyDescent="0.25">
      <c r="A5" s="1">
        <v>1</v>
      </c>
      <c r="B5" s="2" t="s">
        <v>39</v>
      </c>
      <c r="C5" s="2" t="s">
        <v>40</v>
      </c>
      <c r="D5" s="1">
        <f>1105+1000+990+950+900</f>
        <v>4945</v>
      </c>
      <c r="E5" s="1">
        <f>200+200+100+220+180</f>
        <v>900</v>
      </c>
      <c r="F5" s="1"/>
      <c r="G5" s="1">
        <f>10</f>
        <v>10</v>
      </c>
      <c r="H5" s="1"/>
      <c r="I5" s="1">
        <f>40+20+120+30+90</f>
        <v>300</v>
      </c>
      <c r="J5" s="1"/>
      <c r="K5" s="1"/>
      <c r="L5" s="1">
        <f>30+4+20</f>
        <v>54</v>
      </c>
      <c r="M5" s="1">
        <f>20+2+10+5</f>
        <v>37</v>
      </c>
      <c r="N5" s="1">
        <f>20+4+20</f>
        <v>44</v>
      </c>
      <c r="O5" s="1">
        <f>10+5+5</f>
        <v>20</v>
      </c>
      <c r="P5" s="1"/>
      <c r="Q5" s="1"/>
      <c r="R5" s="1"/>
      <c r="S5" s="1"/>
      <c r="T5" s="1"/>
      <c r="U5" s="1"/>
      <c r="V5" s="1"/>
      <c r="W5" s="1"/>
      <c r="X5" s="1"/>
      <c r="Y5" s="3">
        <f>421306+370032+399221+375739+392251</f>
        <v>1958549</v>
      </c>
      <c r="Z5" s="3">
        <f>58453+11256+34650+8651</f>
        <v>113010</v>
      </c>
      <c r="AA5" s="3"/>
      <c r="AB5" s="4">
        <f>Y5+Z5+AA5</f>
        <v>2071559</v>
      </c>
    </row>
    <row r="6" spans="1:28" x14ac:dyDescent="0.25">
      <c r="A6" s="1">
        <v>2</v>
      </c>
      <c r="B6" s="2" t="s">
        <v>41</v>
      </c>
      <c r="C6" s="2" t="s">
        <v>42</v>
      </c>
      <c r="D6" s="1">
        <f>600+800+1110+870+950</f>
        <v>4330</v>
      </c>
      <c r="E6" s="1">
        <f>150+70+155+200</f>
        <v>575</v>
      </c>
      <c r="F6" s="1"/>
      <c r="G6" s="1"/>
      <c r="H6" s="1"/>
      <c r="I6" s="1">
        <f>80+140+25+120+60</f>
        <v>425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>
        <f>293113+357332+300843+396717+390308</f>
        <v>1738313</v>
      </c>
      <c r="Z6" s="3"/>
      <c r="AA6" s="3"/>
      <c r="AB6" s="4">
        <f t="shared" ref="AB6:AB70" si="0">Y6+Z6+AA6</f>
        <v>1738313</v>
      </c>
    </row>
    <row r="7" spans="1:28" x14ac:dyDescent="0.25">
      <c r="A7" s="1">
        <v>3</v>
      </c>
      <c r="B7" s="5" t="s">
        <v>43</v>
      </c>
      <c r="C7" s="2" t="s">
        <v>44</v>
      </c>
      <c r="D7" s="1">
        <v>860</v>
      </c>
      <c r="E7" s="1">
        <v>125</v>
      </c>
      <c r="F7" s="1"/>
      <c r="G7" s="1"/>
      <c r="H7" s="1"/>
      <c r="I7" s="1">
        <v>50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>
        <v>321453</v>
      </c>
      <c r="Z7" s="3"/>
      <c r="AA7" s="3"/>
      <c r="AB7" s="4">
        <f t="shared" si="0"/>
        <v>321453</v>
      </c>
    </row>
    <row r="8" spans="1:28" x14ac:dyDescent="0.25">
      <c r="A8" s="1">
        <v>4</v>
      </c>
      <c r="B8" s="2" t="s">
        <v>45</v>
      </c>
      <c r="C8" s="2" t="s">
        <v>46</v>
      </c>
      <c r="D8" s="1">
        <f>480+350</f>
        <v>830</v>
      </c>
      <c r="E8" s="1">
        <f>140+70</f>
        <v>210</v>
      </c>
      <c r="F8" s="1"/>
      <c r="G8" s="1"/>
      <c r="H8" s="1">
        <f>20+25</f>
        <v>45</v>
      </c>
      <c r="I8" s="1">
        <f>120+200</f>
        <v>320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">
        <f>302292+302799</f>
        <v>605091</v>
      </c>
      <c r="Z8" s="3"/>
      <c r="AA8" s="3"/>
      <c r="AB8" s="4">
        <f t="shared" si="0"/>
        <v>605091</v>
      </c>
    </row>
    <row r="9" spans="1:28" x14ac:dyDescent="0.25">
      <c r="A9" s="1">
        <v>5</v>
      </c>
      <c r="B9" s="2" t="s">
        <v>47</v>
      </c>
      <c r="C9" s="2" t="s">
        <v>48</v>
      </c>
      <c r="D9" s="1">
        <f>790</f>
        <v>790</v>
      </c>
      <c r="E9" s="1">
        <f>100</f>
        <v>100</v>
      </c>
      <c r="F9" s="1"/>
      <c r="G9" s="1"/>
      <c r="H9" s="1"/>
      <c r="I9" s="1">
        <f>60</f>
        <v>60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>
        <f>299368</f>
        <v>299368</v>
      </c>
      <c r="Z9" s="3"/>
      <c r="AA9" s="3"/>
      <c r="AB9" s="4">
        <f t="shared" si="0"/>
        <v>299368</v>
      </c>
    </row>
    <row r="10" spans="1:28" x14ac:dyDescent="0.25">
      <c r="A10" s="1">
        <v>6</v>
      </c>
      <c r="B10" s="2" t="s">
        <v>49</v>
      </c>
      <c r="C10" s="2" t="s">
        <v>50</v>
      </c>
      <c r="D10" s="1">
        <v>660</v>
      </c>
      <c r="E10" s="1">
        <v>100</v>
      </c>
      <c r="F10" s="1"/>
      <c r="G10" s="1"/>
      <c r="H10" s="1"/>
      <c r="I10" s="1">
        <v>100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">
        <v>299444</v>
      </c>
      <c r="Z10" s="3"/>
      <c r="AA10" s="3"/>
      <c r="AB10" s="4">
        <f t="shared" si="0"/>
        <v>299444</v>
      </c>
    </row>
    <row r="11" spans="1:28" x14ac:dyDescent="0.25">
      <c r="A11" s="1">
        <v>7</v>
      </c>
      <c r="B11" s="2" t="s">
        <v>51</v>
      </c>
      <c r="C11" s="2" t="s">
        <v>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3"/>
      <c r="AA11" s="3"/>
      <c r="AB11" s="4">
        <f t="shared" si="0"/>
        <v>0</v>
      </c>
    </row>
    <row r="12" spans="1:28" x14ac:dyDescent="0.25">
      <c r="A12" s="1">
        <v>8</v>
      </c>
      <c r="B12" s="6" t="s">
        <v>53</v>
      </c>
      <c r="C12" s="2" t="s">
        <v>54</v>
      </c>
      <c r="D12" s="1">
        <v>800</v>
      </c>
      <c r="E12" s="1">
        <v>200</v>
      </c>
      <c r="F12" s="1"/>
      <c r="G12" s="1">
        <v>30</v>
      </c>
      <c r="H12" s="1"/>
      <c r="I12" s="1">
        <v>70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>
        <v>385590</v>
      </c>
      <c r="Z12" s="3"/>
      <c r="AA12" s="3"/>
      <c r="AB12" s="4">
        <f t="shared" si="0"/>
        <v>385590</v>
      </c>
    </row>
    <row r="13" spans="1:28" x14ac:dyDescent="0.25">
      <c r="A13" s="1">
        <v>9</v>
      </c>
      <c r="B13" s="2" t="s">
        <v>55</v>
      </c>
      <c r="C13" s="2" t="s">
        <v>56</v>
      </c>
      <c r="D13" s="1">
        <v>550</v>
      </c>
      <c r="E13" s="1">
        <v>200</v>
      </c>
      <c r="F13" s="1"/>
      <c r="G13" s="1">
        <v>10</v>
      </c>
      <c r="H13" s="1"/>
      <c r="I13" s="1">
        <v>60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>
        <v>297617</v>
      </c>
      <c r="Z13" s="3"/>
      <c r="AA13" s="3"/>
      <c r="AB13" s="4">
        <f t="shared" si="0"/>
        <v>297617</v>
      </c>
    </row>
    <row r="14" spans="1:28" x14ac:dyDescent="0.25">
      <c r="A14" s="1">
        <v>10</v>
      </c>
      <c r="B14" s="2" t="s">
        <v>160</v>
      </c>
      <c r="C14" s="2" t="s">
        <v>161</v>
      </c>
      <c r="D14" s="1">
        <v>410</v>
      </c>
      <c r="E14" s="1">
        <v>200</v>
      </c>
      <c r="F14" s="1"/>
      <c r="G14" s="1"/>
      <c r="H14" s="1">
        <v>30</v>
      </c>
      <c r="I14" s="1">
        <v>200</v>
      </c>
      <c r="J14" s="1"/>
      <c r="K14" s="1"/>
      <c r="L14" s="1">
        <v>10</v>
      </c>
      <c r="M14" s="1"/>
      <c r="N14" s="1"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3">
        <v>386558</v>
      </c>
      <c r="Z14" s="3">
        <v>12999</v>
      </c>
      <c r="AA14" s="3"/>
      <c r="AB14" s="4">
        <f t="shared" si="0"/>
        <v>399557</v>
      </c>
    </row>
    <row r="15" spans="1:28" x14ac:dyDescent="0.25">
      <c r="A15" s="1">
        <v>11</v>
      </c>
      <c r="B15" s="2" t="s">
        <v>159</v>
      </c>
      <c r="C15" s="2" t="s">
        <v>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  <c r="AA15" s="3"/>
      <c r="AB15" s="4">
        <f t="shared" si="0"/>
        <v>0</v>
      </c>
    </row>
    <row r="16" spans="1:28" x14ac:dyDescent="0.25">
      <c r="A16" s="1">
        <v>12</v>
      </c>
      <c r="B16" s="2" t="s">
        <v>61</v>
      </c>
      <c r="C16" s="2" t="s">
        <v>62</v>
      </c>
      <c r="D16" s="1">
        <f>825</f>
        <v>825</v>
      </c>
      <c r="E16" s="1">
        <f>110</f>
        <v>110</v>
      </c>
      <c r="F16" s="1"/>
      <c r="G16" s="1">
        <f>12</f>
        <v>12</v>
      </c>
      <c r="H16" s="1"/>
      <c r="I16" s="1">
        <f>25</f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>
        <v>294445</v>
      </c>
      <c r="Z16" s="3"/>
      <c r="AA16" s="3"/>
      <c r="AB16" s="4">
        <f t="shared" si="0"/>
        <v>294445</v>
      </c>
    </row>
    <row r="17" spans="1:28" x14ac:dyDescent="0.25">
      <c r="A17" s="1">
        <v>13</v>
      </c>
      <c r="B17" s="2" t="s">
        <v>63</v>
      </c>
      <c r="C17" s="2" t="s">
        <v>64</v>
      </c>
      <c r="D17" s="1">
        <v>795</v>
      </c>
      <c r="E17" s="1">
        <v>120</v>
      </c>
      <c r="F17" s="1"/>
      <c r="G17" s="1">
        <v>12</v>
      </c>
      <c r="H17" s="1"/>
      <c r="I17" s="1">
        <v>10</v>
      </c>
      <c r="J17" s="1"/>
      <c r="K17" s="1"/>
      <c r="L17" s="1">
        <v>10</v>
      </c>
      <c r="M17" s="1"/>
      <c r="N17" s="1">
        <v>10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3">
        <v>279585</v>
      </c>
      <c r="Z17" s="3">
        <v>12999</v>
      </c>
      <c r="AA17" s="3"/>
      <c r="AB17" s="4">
        <f t="shared" si="0"/>
        <v>292584</v>
      </c>
    </row>
    <row r="18" spans="1:28" x14ac:dyDescent="0.25">
      <c r="A18" s="1">
        <v>14</v>
      </c>
      <c r="B18" s="6" t="s">
        <v>65</v>
      </c>
      <c r="C18" s="2" t="s">
        <v>66</v>
      </c>
      <c r="D18" s="1">
        <f>972+1400</f>
        <v>2372</v>
      </c>
      <c r="E18" s="1">
        <f>350+400</f>
        <v>750</v>
      </c>
      <c r="F18" s="1"/>
      <c r="G18" s="1">
        <v>10</v>
      </c>
      <c r="H18" s="1"/>
      <c r="I18" s="1">
        <f>125+100</f>
        <v>225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>
        <f>533446+637913</f>
        <v>1171359</v>
      </c>
      <c r="Z18" s="3"/>
      <c r="AA18" s="3"/>
      <c r="AB18" s="4">
        <f t="shared" si="0"/>
        <v>1171359</v>
      </c>
    </row>
    <row r="19" spans="1:28" x14ac:dyDescent="0.25">
      <c r="A19" s="1">
        <v>15</v>
      </c>
      <c r="B19" s="6" t="s">
        <v>67</v>
      </c>
      <c r="C19" s="2" t="s">
        <v>68</v>
      </c>
      <c r="D19" s="1">
        <v>700</v>
      </c>
      <c r="E19" s="1">
        <v>300</v>
      </c>
      <c r="F19" s="1"/>
      <c r="G19" s="1"/>
      <c r="H19" s="1"/>
      <c r="I19" s="1"/>
      <c r="J19" s="1"/>
      <c r="K19" s="1"/>
      <c r="L19" s="1">
        <v>10</v>
      </c>
      <c r="M19" s="1"/>
      <c r="N19" s="1"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3">
        <v>324691</v>
      </c>
      <c r="Z19" s="3">
        <v>12822</v>
      </c>
      <c r="AA19" s="3"/>
      <c r="AB19" s="4">
        <f t="shared" si="0"/>
        <v>337513</v>
      </c>
    </row>
    <row r="20" spans="1:28" x14ac:dyDescent="0.25">
      <c r="A20" s="1">
        <v>16</v>
      </c>
      <c r="B20" s="6" t="s">
        <v>69</v>
      </c>
      <c r="C20" s="2" t="s">
        <v>70</v>
      </c>
      <c r="D20" s="1">
        <f>400</f>
        <v>400</v>
      </c>
      <c r="E20" s="1">
        <f>380</f>
        <v>380</v>
      </c>
      <c r="F20" s="1"/>
      <c r="G20" s="1"/>
      <c r="H20" s="1"/>
      <c r="I20" s="1">
        <f>75</f>
        <v>75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>
        <v>347643</v>
      </c>
      <c r="Z20" s="3"/>
      <c r="AA20" s="3"/>
      <c r="AB20" s="4">
        <f t="shared" si="0"/>
        <v>347643</v>
      </c>
    </row>
    <row r="21" spans="1:28" x14ac:dyDescent="0.25">
      <c r="A21" s="1">
        <v>17</v>
      </c>
      <c r="B21" s="6" t="s">
        <v>164</v>
      </c>
      <c r="C21" s="2" t="s">
        <v>165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  <c r="AA21" s="3"/>
      <c r="AB21" s="4">
        <f t="shared" si="0"/>
        <v>0</v>
      </c>
    </row>
    <row r="22" spans="1:28" x14ac:dyDescent="0.25">
      <c r="A22" s="1">
        <v>18</v>
      </c>
      <c r="B22" s="6" t="s">
        <v>171</v>
      </c>
      <c r="C22" s="2" t="s">
        <v>172</v>
      </c>
      <c r="D22" s="1">
        <v>280</v>
      </c>
      <c r="E22" s="1">
        <v>470</v>
      </c>
      <c r="F22" s="1"/>
      <c r="G22" s="1"/>
      <c r="H22" s="1"/>
      <c r="I22" s="1">
        <v>50</v>
      </c>
      <c r="J22" s="1"/>
      <c r="K22" s="1"/>
      <c r="L22" s="1">
        <v>3</v>
      </c>
      <c r="M22" s="1"/>
      <c r="N22" s="1">
        <v>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3">
        <v>345454</v>
      </c>
      <c r="Z22" s="3">
        <v>3205</v>
      </c>
      <c r="AA22" s="3"/>
      <c r="AB22" s="4">
        <f t="shared" si="0"/>
        <v>348659</v>
      </c>
    </row>
    <row r="23" spans="1:28" x14ac:dyDescent="0.25">
      <c r="A23" s="1">
        <v>19</v>
      </c>
      <c r="B23" s="2" t="s">
        <v>71</v>
      </c>
      <c r="C23" s="2" t="s">
        <v>72</v>
      </c>
      <c r="D23" s="1">
        <v>400</v>
      </c>
      <c r="E23" s="1">
        <v>250</v>
      </c>
      <c r="F23" s="1"/>
      <c r="G23" s="1">
        <v>25</v>
      </c>
      <c r="H23" s="1">
        <v>60</v>
      </c>
      <c r="I23" s="1">
        <v>60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>
        <v>330673</v>
      </c>
      <c r="Z23" s="3"/>
      <c r="AA23" s="3"/>
      <c r="AB23" s="4">
        <f t="shared" si="0"/>
        <v>330673</v>
      </c>
    </row>
    <row r="24" spans="1:28" x14ac:dyDescent="0.25">
      <c r="A24" s="1">
        <v>20</v>
      </c>
      <c r="B24" s="2" t="s">
        <v>73</v>
      </c>
      <c r="C24" s="2" t="s">
        <v>74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3"/>
      <c r="AA24" s="3"/>
      <c r="AB24" s="4">
        <f t="shared" si="0"/>
        <v>0</v>
      </c>
    </row>
    <row r="25" spans="1:28" x14ac:dyDescent="0.25">
      <c r="A25" s="1">
        <v>21</v>
      </c>
      <c r="B25" s="2" t="s">
        <v>75</v>
      </c>
      <c r="C25" s="2" t="s">
        <v>76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8"/>
      <c r="Z25" s="8"/>
      <c r="AA25" s="8"/>
      <c r="AB25" s="4">
        <f t="shared" si="0"/>
        <v>0</v>
      </c>
    </row>
    <row r="26" spans="1:28" x14ac:dyDescent="0.25">
      <c r="A26" s="1">
        <v>22</v>
      </c>
      <c r="B26" s="2" t="s">
        <v>77</v>
      </c>
      <c r="C26" s="2" t="s">
        <v>78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8"/>
      <c r="Z26" s="8"/>
      <c r="AA26" s="8"/>
      <c r="AB26" s="4">
        <f t="shared" si="0"/>
        <v>0</v>
      </c>
    </row>
    <row r="27" spans="1:28" x14ac:dyDescent="0.25">
      <c r="A27" s="1">
        <v>23</v>
      </c>
      <c r="B27" s="2" t="s">
        <v>79</v>
      </c>
      <c r="C27" s="2" t="s">
        <v>80</v>
      </c>
      <c r="D27" s="7">
        <v>1096</v>
      </c>
      <c r="E27" s="7">
        <f>200+400</f>
        <v>600</v>
      </c>
      <c r="F27" s="7"/>
      <c r="G27" s="7"/>
      <c r="H27" s="7">
        <v>50</v>
      </c>
      <c r="I27" s="7">
        <v>100</v>
      </c>
      <c r="J27" s="7"/>
      <c r="K27" s="7"/>
      <c r="L27" s="7">
        <f>32+5</f>
        <v>37</v>
      </c>
      <c r="M27" s="7"/>
      <c r="N27" s="7">
        <v>32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8">
        <f>212411+478899</f>
        <v>691310</v>
      </c>
      <c r="Z27" s="8">
        <f>41596+3250</f>
        <v>44846</v>
      </c>
      <c r="AA27" s="8"/>
      <c r="AB27" s="4">
        <f t="shared" si="0"/>
        <v>736156</v>
      </c>
    </row>
    <row r="28" spans="1:28" x14ac:dyDescent="0.25">
      <c r="A28" s="1">
        <v>24</v>
      </c>
      <c r="B28" s="2" t="s">
        <v>81</v>
      </c>
      <c r="C28" s="2" t="s">
        <v>82</v>
      </c>
      <c r="D28" s="1">
        <f>630+630</f>
        <v>1260</v>
      </c>
      <c r="E28" s="1">
        <f>200+175</f>
        <v>375</v>
      </c>
      <c r="F28" s="1"/>
      <c r="G28" s="1"/>
      <c r="H28" s="1">
        <v>20</v>
      </c>
      <c r="I28" s="1">
        <f>40+40</f>
        <v>80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3">
        <f>293056+292054</f>
        <v>585110</v>
      </c>
      <c r="Z28" s="3"/>
      <c r="AA28" s="3"/>
      <c r="AB28" s="4">
        <f t="shared" si="0"/>
        <v>585110</v>
      </c>
    </row>
    <row r="29" spans="1:28" x14ac:dyDescent="0.25">
      <c r="A29" s="1">
        <v>25</v>
      </c>
      <c r="B29" s="2" t="s">
        <v>156</v>
      </c>
      <c r="C29" s="2" t="s">
        <v>157</v>
      </c>
      <c r="D29" s="1">
        <v>1000</v>
      </c>
      <c r="E29" s="1">
        <v>60</v>
      </c>
      <c r="F29" s="1"/>
      <c r="G29" s="1"/>
      <c r="H29" s="1"/>
      <c r="I29" s="1">
        <v>25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">
        <v>294289</v>
      </c>
      <c r="Z29" s="3"/>
      <c r="AA29" s="3"/>
      <c r="AB29" s="4">
        <f t="shared" si="0"/>
        <v>294289</v>
      </c>
    </row>
    <row r="30" spans="1:28" x14ac:dyDescent="0.25">
      <c r="A30" s="1">
        <v>26</v>
      </c>
      <c r="B30" s="2" t="s">
        <v>162</v>
      </c>
      <c r="C30" s="2" t="s">
        <v>163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3"/>
      <c r="Z30" s="3"/>
      <c r="AA30" s="3"/>
      <c r="AB30" s="4">
        <f t="shared" si="0"/>
        <v>0</v>
      </c>
    </row>
    <row r="31" spans="1:28" x14ac:dyDescent="0.25">
      <c r="A31" s="1">
        <v>27</v>
      </c>
      <c r="B31" s="2" t="s">
        <v>83</v>
      </c>
      <c r="C31" s="2" t="s">
        <v>84</v>
      </c>
      <c r="D31" s="1">
        <v>550</v>
      </c>
      <c r="E31" s="1">
        <v>150</v>
      </c>
      <c r="F31" s="1"/>
      <c r="G31" s="1">
        <v>10</v>
      </c>
      <c r="H31" s="1">
        <v>20</v>
      </c>
      <c r="I31" s="1">
        <v>30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">
        <v>410718</v>
      </c>
      <c r="Z31" s="3"/>
      <c r="AA31" s="3"/>
      <c r="AB31" s="4">
        <f t="shared" si="0"/>
        <v>410718</v>
      </c>
    </row>
    <row r="32" spans="1:28" x14ac:dyDescent="0.25">
      <c r="A32" s="1">
        <v>28</v>
      </c>
      <c r="B32" s="2" t="s">
        <v>85</v>
      </c>
      <c r="C32" s="2" t="s">
        <v>86</v>
      </c>
      <c r="D32" s="1">
        <v>250</v>
      </c>
      <c r="E32" s="1">
        <v>300</v>
      </c>
      <c r="F32" s="1"/>
      <c r="G32" s="1"/>
      <c r="H32" s="1">
        <v>100</v>
      </c>
      <c r="I32" s="1">
        <v>50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">
        <v>362093</v>
      </c>
      <c r="Z32" s="3"/>
      <c r="AA32" s="3"/>
      <c r="AB32" s="4">
        <f t="shared" si="0"/>
        <v>362093</v>
      </c>
    </row>
    <row r="33" spans="1:28" x14ac:dyDescent="0.25">
      <c r="A33" s="1">
        <v>29</v>
      </c>
      <c r="B33" s="2" t="s">
        <v>87</v>
      </c>
      <c r="C33" s="2" t="s">
        <v>88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3"/>
      <c r="AA33" s="3"/>
      <c r="AB33" s="4">
        <f t="shared" si="0"/>
        <v>0</v>
      </c>
    </row>
    <row r="34" spans="1:28" x14ac:dyDescent="0.25">
      <c r="A34" s="1">
        <v>30</v>
      </c>
      <c r="B34" s="2" t="s">
        <v>89</v>
      </c>
      <c r="C34" s="2" t="s">
        <v>90</v>
      </c>
      <c r="D34" s="1">
        <v>407</v>
      </c>
      <c r="E34" s="1">
        <v>300</v>
      </c>
      <c r="F34" s="1"/>
      <c r="G34" s="1"/>
      <c r="H34" s="1"/>
      <c r="I34" s="1">
        <v>50</v>
      </c>
      <c r="J34" s="1"/>
      <c r="K34" s="1"/>
      <c r="L34" s="1">
        <v>11</v>
      </c>
      <c r="M34" s="1"/>
      <c r="N34" s="1">
        <v>39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3">
        <v>427362</v>
      </c>
      <c r="Z34" s="3">
        <v>33559</v>
      </c>
      <c r="AA34" s="3"/>
      <c r="AB34" s="4">
        <f t="shared" si="0"/>
        <v>460921</v>
      </c>
    </row>
    <row r="35" spans="1:28" x14ac:dyDescent="0.25">
      <c r="A35" s="1">
        <v>31</v>
      </c>
      <c r="B35" s="2" t="s">
        <v>91</v>
      </c>
      <c r="C35" s="2" t="s">
        <v>92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"/>
      <c r="Z35" s="3"/>
      <c r="AA35" s="3"/>
      <c r="AB35" s="4">
        <f t="shared" si="0"/>
        <v>0</v>
      </c>
    </row>
    <row r="36" spans="1:28" x14ac:dyDescent="0.25">
      <c r="A36" s="1">
        <v>32</v>
      </c>
      <c r="B36" s="2" t="s">
        <v>93</v>
      </c>
      <c r="C36" s="2" t="s">
        <v>94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"/>
      <c r="Z36" s="3"/>
      <c r="AA36" s="3"/>
      <c r="AB36" s="4">
        <f t="shared" si="0"/>
        <v>0</v>
      </c>
    </row>
    <row r="37" spans="1:28" x14ac:dyDescent="0.25">
      <c r="A37" s="1">
        <v>33</v>
      </c>
      <c r="B37" s="2" t="s">
        <v>95</v>
      </c>
      <c r="C37" s="2" t="s">
        <v>96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"/>
      <c r="Z37" s="3"/>
      <c r="AA37" s="3"/>
      <c r="AB37" s="4">
        <f t="shared" si="0"/>
        <v>0</v>
      </c>
    </row>
    <row r="38" spans="1:28" x14ac:dyDescent="0.25">
      <c r="A38" s="1">
        <v>34</v>
      </c>
      <c r="B38" s="2" t="s">
        <v>97</v>
      </c>
      <c r="C38" s="2" t="s">
        <v>98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3"/>
      <c r="AA38" s="3"/>
      <c r="AB38" s="4">
        <f t="shared" si="0"/>
        <v>0</v>
      </c>
    </row>
    <row r="39" spans="1:28" x14ac:dyDescent="0.25">
      <c r="A39" s="1">
        <v>35</v>
      </c>
      <c r="B39" s="2" t="s">
        <v>99</v>
      </c>
      <c r="C39" s="2" t="s">
        <v>100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3"/>
      <c r="AA39" s="3"/>
      <c r="AB39" s="4">
        <f t="shared" si="0"/>
        <v>0</v>
      </c>
    </row>
    <row r="40" spans="1:28" x14ac:dyDescent="0.25">
      <c r="A40" s="1">
        <v>36</v>
      </c>
      <c r="B40" s="2" t="s">
        <v>101</v>
      </c>
      <c r="C40" s="2" t="s">
        <v>102</v>
      </c>
      <c r="D40" s="1">
        <f>300+300</f>
        <v>600</v>
      </c>
      <c r="E40" s="1">
        <v>300</v>
      </c>
      <c r="F40" s="1"/>
      <c r="G40" s="1"/>
      <c r="H40" s="1"/>
      <c r="I40" s="1"/>
      <c r="J40" s="1"/>
      <c r="K40" s="1"/>
      <c r="L40" s="1">
        <v>5</v>
      </c>
      <c r="M40" s="1">
        <v>5</v>
      </c>
      <c r="N40" s="1">
        <v>5</v>
      </c>
      <c r="O40" s="1">
        <v>5</v>
      </c>
      <c r="P40" s="1"/>
      <c r="Q40" s="1"/>
      <c r="R40" s="1"/>
      <c r="S40" s="1"/>
      <c r="T40" s="1"/>
      <c r="U40" s="1"/>
      <c r="V40" s="1"/>
      <c r="W40" s="1"/>
      <c r="X40" s="1"/>
      <c r="Y40" s="3">
        <v>433642</v>
      </c>
      <c r="Z40" s="3">
        <v>15661</v>
      </c>
      <c r="AA40" s="3"/>
      <c r="AB40" s="4">
        <f t="shared" si="0"/>
        <v>449303</v>
      </c>
    </row>
    <row r="41" spans="1:28" x14ac:dyDescent="0.25">
      <c r="A41" s="1">
        <v>37</v>
      </c>
      <c r="B41" s="2" t="s">
        <v>103</v>
      </c>
      <c r="C41" s="2" t="s">
        <v>104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"/>
      <c r="Z41" s="3"/>
      <c r="AA41" s="3"/>
      <c r="AB41" s="4">
        <f t="shared" si="0"/>
        <v>0</v>
      </c>
    </row>
    <row r="42" spans="1:28" x14ac:dyDescent="0.25">
      <c r="A42" s="1">
        <v>38</v>
      </c>
      <c r="B42" s="2" t="s">
        <v>152</v>
      </c>
      <c r="C42" s="2" t="s">
        <v>154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3"/>
      <c r="Z42" s="3"/>
      <c r="AA42" s="3"/>
      <c r="AB42" s="4">
        <f t="shared" si="0"/>
        <v>0</v>
      </c>
    </row>
    <row r="43" spans="1:28" x14ac:dyDescent="0.25">
      <c r="A43" s="1">
        <v>39</v>
      </c>
      <c r="B43" s="2" t="s">
        <v>153</v>
      </c>
      <c r="C43" s="2" t="s">
        <v>155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/>
      <c r="Z43" s="3"/>
      <c r="AA43" s="3"/>
      <c r="AB43" s="4">
        <f t="shared" si="0"/>
        <v>0</v>
      </c>
    </row>
    <row r="44" spans="1:28" x14ac:dyDescent="0.25">
      <c r="A44" s="1">
        <v>40</v>
      </c>
      <c r="B44" s="2" t="s">
        <v>167</v>
      </c>
      <c r="C44" s="2" t="s">
        <v>168</v>
      </c>
      <c r="D44" s="1">
        <f>200+45</f>
        <v>245</v>
      </c>
      <c r="E44" s="1">
        <v>100</v>
      </c>
      <c r="F44" s="1"/>
      <c r="G44" s="1"/>
      <c r="H44" s="1"/>
      <c r="I44" s="1">
        <v>40</v>
      </c>
      <c r="J44" s="1">
        <v>70</v>
      </c>
      <c r="K44" s="1"/>
      <c r="L44" s="1">
        <v>20</v>
      </c>
      <c r="M44" s="1">
        <v>18</v>
      </c>
      <c r="N44" s="1">
        <v>20</v>
      </c>
      <c r="O44" s="1">
        <v>20</v>
      </c>
      <c r="P44" s="1"/>
      <c r="Q44" s="1"/>
      <c r="R44" s="1"/>
      <c r="S44" s="1"/>
      <c r="T44" s="1"/>
      <c r="U44" s="1"/>
      <c r="V44" s="1"/>
      <c r="W44" s="1"/>
      <c r="X44" s="1"/>
      <c r="Y44" s="3">
        <v>240781</v>
      </c>
      <c r="Z44" s="3">
        <v>60854</v>
      </c>
      <c r="AA44" s="3"/>
      <c r="AB44" s="4">
        <f t="shared" si="0"/>
        <v>301635</v>
      </c>
    </row>
    <row r="45" spans="1:28" x14ac:dyDescent="0.25">
      <c r="A45" s="1">
        <v>41</v>
      </c>
      <c r="B45" s="2" t="s">
        <v>169</v>
      </c>
      <c r="C45" s="2" t="s">
        <v>170</v>
      </c>
      <c r="D45" s="1">
        <f>400+155</f>
        <v>555</v>
      </c>
      <c r="E45" s="1">
        <v>160</v>
      </c>
      <c r="F45" s="1"/>
      <c r="G45" s="1"/>
      <c r="H45" s="1"/>
      <c r="I45" s="1">
        <v>50</v>
      </c>
      <c r="J45" s="1">
        <v>100</v>
      </c>
      <c r="K45" s="1"/>
      <c r="L45" s="1">
        <v>23</v>
      </c>
      <c r="M45" s="1">
        <v>18</v>
      </c>
      <c r="N45" s="1">
        <v>20</v>
      </c>
      <c r="O45" s="1">
        <v>22</v>
      </c>
      <c r="P45" s="1"/>
      <c r="Q45" s="1"/>
      <c r="R45" s="1"/>
      <c r="S45" s="1"/>
      <c r="T45" s="1"/>
      <c r="U45" s="1"/>
      <c r="V45" s="1"/>
      <c r="W45" s="1"/>
      <c r="X45" s="1"/>
      <c r="Y45" s="3">
        <v>437432</v>
      </c>
      <c r="Z45" s="3">
        <v>64657</v>
      </c>
      <c r="AA45" s="3"/>
      <c r="AB45" s="4">
        <f t="shared" si="0"/>
        <v>502089</v>
      </c>
    </row>
    <row r="46" spans="1:28" x14ac:dyDescent="0.25">
      <c r="A46" s="1">
        <v>42</v>
      </c>
      <c r="B46" s="2" t="s">
        <v>105</v>
      </c>
      <c r="C46" s="2" t="s">
        <v>106</v>
      </c>
      <c r="D46" s="1">
        <v>1150</v>
      </c>
      <c r="E46" s="1">
        <v>200</v>
      </c>
      <c r="F46" s="1"/>
      <c r="G46" s="1"/>
      <c r="H46" s="1"/>
      <c r="I46" s="1">
        <v>25</v>
      </c>
      <c r="J46" s="1"/>
      <c r="K46" s="1"/>
      <c r="L46" s="1">
        <v>79</v>
      </c>
      <c r="M46" s="1"/>
      <c r="N46" s="1">
        <v>134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3">
        <v>775168</v>
      </c>
      <c r="Z46" s="3">
        <v>142510</v>
      </c>
      <c r="AA46" s="3"/>
      <c r="AB46" s="4">
        <f t="shared" si="0"/>
        <v>917678</v>
      </c>
    </row>
    <row r="47" spans="1:28" x14ac:dyDescent="0.25">
      <c r="A47" s="1">
        <v>43</v>
      </c>
      <c r="B47" s="2" t="s">
        <v>107</v>
      </c>
      <c r="C47" s="2" t="s">
        <v>108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3"/>
      <c r="AA47" s="3"/>
      <c r="AB47" s="4">
        <f t="shared" si="0"/>
        <v>0</v>
      </c>
    </row>
    <row r="48" spans="1:28" x14ac:dyDescent="0.25">
      <c r="A48" s="1">
        <v>44</v>
      </c>
      <c r="B48" s="2" t="s">
        <v>109</v>
      </c>
      <c r="C48" s="2" t="s">
        <v>110</v>
      </c>
      <c r="D48" s="1">
        <v>650</v>
      </c>
      <c r="E48" s="1">
        <v>50</v>
      </c>
      <c r="F48" s="1"/>
      <c r="G48" s="1"/>
      <c r="H48" s="1"/>
      <c r="I48" s="1">
        <v>10</v>
      </c>
      <c r="J48" s="1"/>
      <c r="K48" s="1"/>
      <c r="L48" s="1">
        <v>90</v>
      </c>
      <c r="M48" s="1">
        <v>45</v>
      </c>
      <c r="N48" s="1">
        <v>100</v>
      </c>
      <c r="O48" s="1">
        <v>50</v>
      </c>
      <c r="P48" s="1"/>
      <c r="Q48" s="1"/>
      <c r="R48" s="1"/>
      <c r="S48" s="1"/>
      <c r="T48" s="1"/>
      <c r="U48" s="1"/>
      <c r="V48" s="1"/>
      <c r="W48" s="1"/>
      <c r="X48" s="1"/>
      <c r="Y48" s="3">
        <v>197622</v>
      </c>
      <c r="Z48" s="3">
        <v>205681</v>
      </c>
      <c r="AA48" s="3"/>
      <c r="AB48" s="4">
        <f t="shared" si="0"/>
        <v>403303</v>
      </c>
    </row>
    <row r="49" spans="1:28" x14ac:dyDescent="0.25">
      <c r="A49" s="1">
        <v>45</v>
      </c>
      <c r="B49" s="2" t="s">
        <v>173</v>
      </c>
      <c r="C49" s="2" t="s">
        <v>174</v>
      </c>
      <c r="D49" s="1">
        <v>735</v>
      </c>
      <c r="E49" s="1">
        <v>100</v>
      </c>
      <c r="F49" s="1"/>
      <c r="G49" s="1"/>
      <c r="H49" s="1"/>
      <c r="I49" s="1">
        <v>10</v>
      </c>
      <c r="J49" s="1"/>
      <c r="K49" s="1"/>
      <c r="L49" s="1">
        <v>120</v>
      </c>
      <c r="M49" s="1">
        <v>50</v>
      </c>
      <c r="N49" s="1">
        <v>80</v>
      </c>
      <c r="O49" s="1">
        <v>50</v>
      </c>
      <c r="P49" s="1"/>
      <c r="Q49" s="1"/>
      <c r="R49" s="1"/>
      <c r="S49" s="1"/>
      <c r="T49" s="1"/>
      <c r="U49" s="1"/>
      <c r="V49" s="1"/>
      <c r="W49" s="1"/>
      <c r="X49" s="1"/>
      <c r="Y49" s="3">
        <v>239467</v>
      </c>
      <c r="Z49" s="3">
        <v>212177</v>
      </c>
      <c r="AA49" s="3"/>
      <c r="AB49" s="4">
        <f t="shared" si="0"/>
        <v>451644</v>
      </c>
    </row>
    <row r="50" spans="1:28" x14ac:dyDescent="0.25">
      <c r="A50" s="1">
        <v>46</v>
      </c>
      <c r="B50" s="5" t="s">
        <v>111</v>
      </c>
      <c r="C50" s="2" t="s">
        <v>112</v>
      </c>
      <c r="D50" s="1">
        <f>260+250</f>
        <v>510</v>
      </c>
      <c r="E50" s="1">
        <f>175+175</f>
        <v>350</v>
      </c>
      <c r="F50" s="1"/>
      <c r="G50" s="1">
        <f>10+5</f>
        <v>15</v>
      </c>
      <c r="H50" s="1">
        <f>20+10</f>
        <v>30</v>
      </c>
      <c r="I50" s="1">
        <f>7+20</f>
        <v>27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>
        <f>179795+177991</f>
        <v>357786</v>
      </c>
      <c r="Z50" s="3"/>
      <c r="AA50" s="3"/>
      <c r="AB50" s="4">
        <f t="shared" si="0"/>
        <v>357786</v>
      </c>
    </row>
    <row r="51" spans="1:28" x14ac:dyDescent="0.25">
      <c r="A51" s="1">
        <v>47</v>
      </c>
      <c r="B51" s="2" t="s">
        <v>113</v>
      </c>
      <c r="C51" s="2" t="s">
        <v>114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3"/>
      <c r="AA51" s="3"/>
      <c r="AB51" s="4">
        <f t="shared" si="0"/>
        <v>0</v>
      </c>
    </row>
    <row r="52" spans="1:28" x14ac:dyDescent="0.25">
      <c r="A52" s="1">
        <v>48</v>
      </c>
      <c r="B52" s="2" t="s">
        <v>115</v>
      </c>
      <c r="C52" s="2" t="s">
        <v>116</v>
      </c>
      <c r="D52" s="1">
        <v>50</v>
      </c>
      <c r="E52" s="1">
        <f>10+25</f>
        <v>35</v>
      </c>
      <c r="F52" s="1"/>
      <c r="G52" s="1"/>
      <c r="H52" s="1"/>
      <c r="I52" s="1">
        <f>150+150</f>
        <v>300</v>
      </c>
      <c r="J52" s="1">
        <f>50+75</f>
        <v>125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>
        <f>164784+203166</f>
        <v>367950</v>
      </c>
      <c r="Z52" s="3"/>
      <c r="AA52" s="3"/>
      <c r="AB52" s="4">
        <f t="shared" si="0"/>
        <v>367950</v>
      </c>
    </row>
    <row r="53" spans="1:28" x14ac:dyDescent="0.25">
      <c r="A53" s="1"/>
      <c r="B53" s="28" t="s">
        <v>117</v>
      </c>
      <c r="C53" s="28" t="s">
        <v>118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3"/>
      <c r="AA53" s="3"/>
      <c r="AB53" s="4">
        <f t="shared" si="0"/>
        <v>0</v>
      </c>
    </row>
    <row r="54" spans="1:28" x14ac:dyDescent="0.25">
      <c r="A54" s="1">
        <v>49</v>
      </c>
      <c r="B54" s="2" t="s">
        <v>158</v>
      </c>
      <c r="C54" s="2" t="s">
        <v>118</v>
      </c>
      <c r="D54" s="1">
        <v>310</v>
      </c>
      <c r="E54" s="1">
        <v>160</v>
      </c>
      <c r="F54" s="1"/>
      <c r="G54" s="1"/>
      <c r="H54" s="1"/>
      <c r="I54" s="1">
        <v>50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>
        <v>200264</v>
      </c>
      <c r="Z54" s="3"/>
      <c r="AA54" s="3"/>
      <c r="AB54" s="4">
        <f t="shared" si="0"/>
        <v>200264</v>
      </c>
    </row>
    <row r="55" spans="1:28" x14ac:dyDescent="0.25">
      <c r="A55" s="1">
        <v>50</v>
      </c>
      <c r="B55" s="2" t="s">
        <v>119</v>
      </c>
      <c r="C55" s="2" t="s">
        <v>120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/>
      <c r="Z55" s="3"/>
      <c r="AA55" s="3"/>
      <c r="AB55" s="4">
        <f t="shared" si="0"/>
        <v>0</v>
      </c>
    </row>
    <row r="56" spans="1:28" x14ac:dyDescent="0.25">
      <c r="A56" s="1">
        <v>51</v>
      </c>
      <c r="B56" s="2" t="s">
        <v>121</v>
      </c>
      <c r="C56" s="2" t="s">
        <v>122</v>
      </c>
      <c r="D56" s="1">
        <f>700+900+600</f>
        <v>2200</v>
      </c>
      <c r="E56" s="1">
        <f>150+70+220</f>
        <v>440</v>
      </c>
      <c r="F56" s="1"/>
      <c r="G56" s="1">
        <v>15</v>
      </c>
      <c r="H56" s="1">
        <f>10+5</f>
        <v>15</v>
      </c>
      <c r="I56" s="1">
        <f>50+40+75</f>
        <v>165</v>
      </c>
      <c r="J56" s="1"/>
      <c r="K56" s="1"/>
      <c r="L56" s="1">
        <v>5</v>
      </c>
      <c r="M56" s="1">
        <f>5+5</f>
        <v>10</v>
      </c>
      <c r="N56" s="1"/>
      <c r="O56" s="1">
        <v>5</v>
      </c>
      <c r="P56" s="1"/>
      <c r="Q56" s="1"/>
      <c r="R56" s="1"/>
      <c r="S56" s="1"/>
      <c r="T56" s="1"/>
      <c r="U56" s="1"/>
      <c r="V56" s="1"/>
      <c r="W56" s="1"/>
      <c r="X56" s="1"/>
      <c r="Y56" s="3">
        <f>293687+301348+339752</f>
        <v>934787</v>
      </c>
      <c r="Z56" s="3">
        <f>4326+11901</f>
        <v>16227</v>
      </c>
      <c r="AA56" s="3"/>
      <c r="AB56" s="4">
        <f t="shared" si="0"/>
        <v>951014</v>
      </c>
    </row>
    <row r="57" spans="1:28" x14ac:dyDescent="0.25">
      <c r="A57" s="1">
        <v>52</v>
      </c>
      <c r="B57" s="5" t="s">
        <v>123</v>
      </c>
      <c r="C57" s="2" t="s">
        <v>124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3"/>
      <c r="AA57" s="3"/>
      <c r="AB57" s="4">
        <f t="shared" si="0"/>
        <v>0</v>
      </c>
    </row>
    <row r="58" spans="1:28" x14ac:dyDescent="0.25">
      <c r="A58" s="1">
        <v>53</v>
      </c>
      <c r="B58" s="5" t="s">
        <v>125</v>
      </c>
      <c r="C58" s="2" t="s">
        <v>126</v>
      </c>
      <c r="D58" s="1">
        <v>100</v>
      </c>
      <c r="E58" s="1">
        <v>130</v>
      </c>
      <c r="F58" s="1"/>
      <c r="G58" s="1"/>
      <c r="H58" s="1"/>
      <c r="I58" s="1">
        <v>70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>
        <v>148528</v>
      </c>
      <c r="Z58" s="3"/>
      <c r="AA58" s="3"/>
      <c r="AB58" s="4">
        <f t="shared" si="0"/>
        <v>148528</v>
      </c>
    </row>
    <row r="59" spans="1:28" x14ac:dyDescent="0.25">
      <c r="A59" s="1">
        <v>54</v>
      </c>
      <c r="B59" s="2" t="s">
        <v>127</v>
      </c>
      <c r="C59" s="2" t="s">
        <v>128</v>
      </c>
      <c r="D59" s="1">
        <v>315</v>
      </c>
      <c r="E59" s="1">
        <v>150</v>
      </c>
      <c r="F59" s="1"/>
      <c r="G59" s="1"/>
      <c r="H59" s="1">
        <v>10</v>
      </c>
      <c r="I59" s="1">
        <v>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>
        <v>140006</v>
      </c>
      <c r="Z59" s="3"/>
      <c r="AA59" s="3"/>
      <c r="AB59" s="4">
        <f t="shared" si="0"/>
        <v>140006</v>
      </c>
    </row>
    <row r="60" spans="1:28" x14ac:dyDescent="0.25">
      <c r="A60" s="1">
        <v>55</v>
      </c>
      <c r="B60" s="2" t="s">
        <v>129</v>
      </c>
      <c r="C60" s="2" t="s">
        <v>130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/>
      <c r="Z60" s="3"/>
      <c r="AA60" s="3"/>
      <c r="AB60" s="4">
        <f t="shared" si="0"/>
        <v>0</v>
      </c>
    </row>
    <row r="61" spans="1:28" x14ac:dyDescent="0.25">
      <c r="A61" s="1">
        <v>56</v>
      </c>
      <c r="B61" s="5" t="s">
        <v>131</v>
      </c>
      <c r="C61" s="5" t="s">
        <v>132</v>
      </c>
      <c r="D61" s="1">
        <v>100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>
        <v>16834</v>
      </c>
      <c r="Z61" s="3"/>
      <c r="AA61" s="3"/>
      <c r="AB61" s="4">
        <f t="shared" si="0"/>
        <v>16834</v>
      </c>
    </row>
    <row r="62" spans="1:28" x14ac:dyDescent="0.25">
      <c r="A62" s="1">
        <v>57</v>
      </c>
      <c r="B62" s="2" t="s">
        <v>133</v>
      </c>
      <c r="C62" s="2" t="s">
        <v>132</v>
      </c>
      <c r="D62" s="1">
        <v>201</v>
      </c>
      <c r="E62" s="1"/>
      <c r="F62" s="1"/>
      <c r="G62" s="1"/>
      <c r="H62" s="1"/>
      <c r="I62" s="1">
        <v>10</v>
      </c>
      <c r="J62" s="1"/>
      <c r="K62" s="1"/>
      <c r="L62" s="1">
        <v>6</v>
      </c>
      <c r="M62" s="1"/>
      <c r="N62" s="1">
        <v>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3">
        <v>42061</v>
      </c>
      <c r="Z62" s="3">
        <v>6712</v>
      </c>
      <c r="AA62" s="3"/>
      <c r="AB62" s="4">
        <f t="shared" si="0"/>
        <v>48773</v>
      </c>
    </row>
    <row r="63" spans="1:28" x14ac:dyDescent="0.25">
      <c r="A63" s="1">
        <v>58</v>
      </c>
      <c r="B63" s="9" t="s">
        <v>134</v>
      </c>
      <c r="C63" s="2" t="s">
        <v>135</v>
      </c>
      <c r="D63" s="1">
        <v>380</v>
      </c>
      <c r="E63" s="1">
        <v>240</v>
      </c>
      <c r="F63" s="1"/>
      <c r="G63" s="1"/>
      <c r="H63" s="1">
        <v>20</v>
      </c>
      <c r="I63" s="1">
        <v>70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>
        <v>286453</v>
      </c>
      <c r="Z63" s="3"/>
      <c r="AA63" s="3"/>
      <c r="AB63" s="4">
        <f t="shared" si="0"/>
        <v>286453</v>
      </c>
    </row>
    <row r="64" spans="1:28" x14ac:dyDescent="0.25">
      <c r="A64" s="1"/>
      <c r="B64" s="29" t="s">
        <v>136</v>
      </c>
      <c r="C64" s="28" t="s">
        <v>137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  <c r="AB64" s="4">
        <f t="shared" si="0"/>
        <v>0</v>
      </c>
    </row>
    <row r="65" spans="1:28" x14ac:dyDescent="0.25">
      <c r="A65" s="1">
        <v>59</v>
      </c>
      <c r="B65" s="9" t="s">
        <v>138</v>
      </c>
      <c r="C65" s="2" t="s">
        <v>139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3"/>
      <c r="AA65" s="3"/>
      <c r="AB65" s="4">
        <f t="shared" si="0"/>
        <v>0</v>
      </c>
    </row>
    <row r="66" spans="1:28" x14ac:dyDescent="0.25">
      <c r="A66" s="1">
        <v>60</v>
      </c>
      <c r="B66" s="9" t="s">
        <v>142</v>
      </c>
      <c r="C66" s="2" t="s">
        <v>143</v>
      </c>
      <c r="D66" s="1">
        <v>50</v>
      </c>
      <c r="E66" s="1">
        <v>30</v>
      </c>
      <c r="F66" s="1"/>
      <c r="G66" s="1">
        <v>2</v>
      </c>
      <c r="H66" s="1"/>
      <c r="I66" s="1">
        <v>20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>
        <v>48872</v>
      </c>
      <c r="Z66" s="3"/>
      <c r="AA66" s="3"/>
      <c r="AB66" s="4">
        <f t="shared" si="0"/>
        <v>48872</v>
      </c>
    </row>
    <row r="67" spans="1:28" x14ac:dyDescent="0.25">
      <c r="A67" s="1"/>
      <c r="B67" s="29" t="s">
        <v>144</v>
      </c>
      <c r="C67" s="28" t="s">
        <v>145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3"/>
      <c r="AA67" s="3"/>
      <c r="AB67" s="4">
        <f t="shared" si="0"/>
        <v>0</v>
      </c>
    </row>
    <row r="68" spans="1:28" x14ac:dyDescent="0.25">
      <c r="A68" s="1">
        <v>61</v>
      </c>
      <c r="B68" s="5" t="s">
        <v>146</v>
      </c>
      <c r="C68" s="2" t="s">
        <v>147</v>
      </c>
      <c r="D68" s="1">
        <f>48+55+30</f>
        <v>133</v>
      </c>
      <c r="E68" s="1">
        <f>25+20+5</f>
        <v>50</v>
      </c>
      <c r="F68" s="1"/>
      <c r="G68" s="1">
        <f>7+10</f>
        <v>17</v>
      </c>
      <c r="H68" s="1"/>
      <c r="I68" s="1">
        <f>15+16</f>
        <v>31</v>
      </c>
      <c r="J68" s="1">
        <v>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>
        <f>51028+34229+24823</f>
        <v>110080</v>
      </c>
      <c r="Z68" s="3"/>
      <c r="AA68" s="3"/>
      <c r="AB68" s="4">
        <f t="shared" si="0"/>
        <v>110080</v>
      </c>
    </row>
    <row r="69" spans="1:28" ht="15.75" thickBot="1" x14ac:dyDescent="0.3">
      <c r="A69" s="1">
        <v>62</v>
      </c>
      <c r="B69" s="10" t="s">
        <v>148</v>
      </c>
      <c r="C69" s="11" t="s">
        <v>149</v>
      </c>
      <c r="D69" s="12">
        <f>130+150</f>
        <v>280</v>
      </c>
      <c r="E69" s="12"/>
      <c r="F69" s="12"/>
      <c r="G69" s="12"/>
      <c r="H69" s="12">
        <v>3</v>
      </c>
      <c r="I69" s="12">
        <v>10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3">
        <f>46783+40144</f>
        <v>86927</v>
      </c>
      <c r="Z69" s="13"/>
      <c r="AA69" s="13"/>
      <c r="AB69" s="4">
        <f t="shared" si="0"/>
        <v>86927</v>
      </c>
    </row>
    <row r="70" spans="1:28" ht="15.75" thickBot="1" x14ac:dyDescent="0.3">
      <c r="A70" s="39" t="s">
        <v>150</v>
      </c>
      <c r="B70" s="40"/>
      <c r="C70" s="24"/>
      <c r="D70" s="25">
        <f t="shared" ref="D70:AA70" si="1">SUM(D5:D69)</f>
        <v>33074</v>
      </c>
      <c r="E70" s="25">
        <f t="shared" si="1"/>
        <v>9270</v>
      </c>
      <c r="F70" s="25">
        <f t="shared" si="1"/>
        <v>0</v>
      </c>
      <c r="G70" s="25">
        <f t="shared" si="1"/>
        <v>168</v>
      </c>
      <c r="H70" s="25">
        <f t="shared" si="1"/>
        <v>403</v>
      </c>
      <c r="I70" s="25">
        <f t="shared" si="1"/>
        <v>3258</v>
      </c>
      <c r="J70" s="25">
        <f t="shared" si="1"/>
        <v>300</v>
      </c>
      <c r="K70" s="25">
        <f t="shared" si="1"/>
        <v>0</v>
      </c>
      <c r="L70" s="25">
        <f t="shared" si="1"/>
        <v>483</v>
      </c>
      <c r="M70" s="25">
        <f t="shared" si="1"/>
        <v>183</v>
      </c>
      <c r="N70" s="25">
        <f t="shared" si="1"/>
        <v>510</v>
      </c>
      <c r="O70" s="25">
        <f t="shared" si="1"/>
        <v>172</v>
      </c>
      <c r="P70" s="25">
        <f t="shared" si="1"/>
        <v>0</v>
      </c>
      <c r="Q70" s="25">
        <f t="shared" si="1"/>
        <v>0</v>
      </c>
      <c r="R70" s="25">
        <f t="shared" si="1"/>
        <v>0</v>
      </c>
      <c r="S70" s="25">
        <f t="shared" si="1"/>
        <v>0</v>
      </c>
      <c r="T70" s="25">
        <f t="shared" si="1"/>
        <v>0</v>
      </c>
      <c r="U70" s="25">
        <f t="shared" si="1"/>
        <v>0</v>
      </c>
      <c r="V70" s="25">
        <f t="shared" si="1"/>
        <v>0</v>
      </c>
      <c r="W70" s="25">
        <f t="shared" si="1"/>
        <v>0</v>
      </c>
      <c r="X70" s="25">
        <f t="shared" si="1"/>
        <v>0</v>
      </c>
      <c r="Y70" s="26">
        <f t="shared" si="1"/>
        <v>17221375</v>
      </c>
      <c r="Z70" s="26">
        <f t="shared" si="1"/>
        <v>957919</v>
      </c>
      <c r="AA70" s="26">
        <f t="shared" si="1"/>
        <v>0</v>
      </c>
      <c r="AB70" s="27">
        <f t="shared" si="0"/>
        <v>18179294</v>
      </c>
    </row>
  </sheetData>
  <mergeCells count="3">
    <mergeCell ref="A1:AB1"/>
    <mergeCell ref="A2:AB2"/>
    <mergeCell ref="A70:B7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E5EF-C4C0-466D-9BA7-EEA5A619765D}">
  <dimension ref="A1:AB72"/>
  <sheetViews>
    <sheetView zoomScale="90" zoomScaleNormal="90" workbookViewId="0">
      <pane xSplit="3" ySplit="4" topLeftCell="D35" activePane="bottomRight" state="frozen"/>
      <selection pane="topRight" activeCell="D1" sqref="D1"/>
      <selection pane="bottomLeft" activeCell="A5" sqref="A5"/>
      <selection pane="bottomRight" activeCell="B69" sqref="B69"/>
    </sheetView>
  </sheetViews>
  <sheetFormatPr defaultRowHeight="15" x14ac:dyDescent="0.25"/>
  <cols>
    <col min="1" max="1" width="6.42578125" bestFit="1" customWidth="1"/>
    <col min="2" max="2" width="27.140625" bestFit="1" customWidth="1"/>
    <col min="3" max="3" width="15.5703125" bestFit="1" customWidth="1"/>
    <col min="4" max="4" width="8.42578125" style="14" customWidth="1"/>
    <col min="5" max="5" width="9" style="14" customWidth="1"/>
    <col min="6" max="6" width="8.42578125" style="14" hidden="1" customWidth="1"/>
    <col min="7" max="7" width="8.42578125" style="14" customWidth="1"/>
    <col min="8" max="10" width="8.7109375" style="14" customWidth="1"/>
    <col min="11" max="11" width="8.7109375" style="14" hidden="1" customWidth="1"/>
    <col min="12" max="13" width="9" style="14" customWidth="1"/>
    <col min="14" max="14" width="8.7109375" style="14" customWidth="1"/>
    <col min="15" max="15" width="8.28515625" style="14" customWidth="1"/>
    <col min="16" max="16" width="8.7109375" style="14" hidden="1" customWidth="1"/>
    <col min="17" max="17" width="8.42578125" style="14" hidden="1" customWidth="1"/>
    <col min="18" max="20" width="8.85546875" style="14" hidden="1" customWidth="1"/>
    <col min="21" max="21" width="8.7109375" style="14" hidden="1" customWidth="1"/>
    <col min="22" max="22" width="8.85546875" style="14" hidden="1" customWidth="1"/>
    <col min="23" max="23" width="8.42578125" style="14" hidden="1" customWidth="1"/>
    <col min="24" max="24" width="9.28515625" style="14" hidden="1" customWidth="1"/>
    <col min="25" max="25" width="14.140625" style="14" bestFit="1" customWidth="1"/>
    <col min="26" max="26" width="12.5703125" style="14" bestFit="1" customWidth="1"/>
    <col min="27" max="27" width="10.7109375" style="14" hidden="1" customWidth="1"/>
    <col min="28" max="28" width="14.140625" bestFit="1" customWidth="1"/>
  </cols>
  <sheetData>
    <row r="1" spans="1:28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9.5" thickBot="1" x14ac:dyDescent="0.35">
      <c r="A2" s="38" t="s">
        <v>175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 ht="63.75" thickBot="1" x14ac:dyDescent="0.3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  <c r="Q3" s="17" t="s">
        <v>17</v>
      </c>
      <c r="R3" s="17" t="s">
        <v>18</v>
      </c>
      <c r="S3" s="17" t="s">
        <v>19</v>
      </c>
      <c r="T3" s="17" t="s">
        <v>20</v>
      </c>
      <c r="U3" s="17" t="s">
        <v>21</v>
      </c>
      <c r="V3" s="17" t="s">
        <v>22</v>
      </c>
      <c r="W3" s="17" t="s">
        <v>23</v>
      </c>
      <c r="X3" s="17" t="s">
        <v>24</v>
      </c>
      <c r="Y3" s="17" t="s">
        <v>25</v>
      </c>
      <c r="Z3" s="18" t="s">
        <v>26</v>
      </c>
      <c r="AA3" s="18" t="s">
        <v>27</v>
      </c>
      <c r="AB3" s="19" t="s">
        <v>28</v>
      </c>
    </row>
    <row r="4" spans="1:28" ht="15.75" thickBot="1" x14ac:dyDescent="0.3">
      <c r="A4" s="20"/>
      <c r="B4" s="21"/>
      <c r="C4" s="21"/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34</v>
      </c>
      <c r="L4" s="22" t="s">
        <v>36</v>
      </c>
      <c r="M4" s="22" t="s">
        <v>29</v>
      </c>
      <c r="N4" s="22" t="s">
        <v>36</v>
      </c>
      <c r="O4" s="22" t="s">
        <v>29</v>
      </c>
      <c r="P4" s="22" t="s">
        <v>37</v>
      </c>
      <c r="Q4" s="22" t="s">
        <v>37</v>
      </c>
      <c r="R4" s="22" t="s">
        <v>37</v>
      </c>
      <c r="S4" s="22" t="s">
        <v>37</v>
      </c>
      <c r="T4" s="22" t="s">
        <v>37</v>
      </c>
      <c r="U4" s="22" t="s">
        <v>37</v>
      </c>
      <c r="V4" s="22" t="s">
        <v>38</v>
      </c>
      <c r="W4" s="22" t="s">
        <v>38</v>
      </c>
      <c r="X4" s="22" t="s">
        <v>38</v>
      </c>
      <c r="Y4" s="22"/>
      <c r="Z4" s="22"/>
      <c r="AA4" s="22"/>
      <c r="AB4" s="23"/>
    </row>
    <row r="5" spans="1:28" x14ac:dyDescent="0.25">
      <c r="A5" s="1">
        <v>1</v>
      </c>
      <c r="B5" s="2" t="s">
        <v>39</v>
      </c>
      <c r="C5" s="2" t="s">
        <v>40</v>
      </c>
      <c r="D5" s="1">
        <f>1200+1000+900+1087</f>
        <v>4187</v>
      </c>
      <c r="E5" s="1">
        <f>100+200+250+160</f>
        <v>710</v>
      </c>
      <c r="F5" s="1"/>
      <c r="G5" s="1"/>
      <c r="H5" s="1"/>
      <c r="I5" s="1">
        <f>30+20+70+30</f>
        <v>150</v>
      </c>
      <c r="J5" s="1"/>
      <c r="K5" s="1"/>
      <c r="L5" s="1">
        <f>15+15</f>
        <v>30</v>
      </c>
      <c r="M5" s="1">
        <f>5+3</f>
        <v>8</v>
      </c>
      <c r="N5" s="1">
        <f>15+15</f>
        <v>30</v>
      </c>
      <c r="O5" s="1">
        <f>5+5+3</f>
        <v>13</v>
      </c>
      <c r="P5" s="1"/>
      <c r="Q5" s="1"/>
      <c r="R5" s="1"/>
      <c r="S5" s="1"/>
      <c r="T5" s="1"/>
      <c r="U5" s="1"/>
      <c r="V5" s="1"/>
      <c r="W5" s="1"/>
      <c r="X5" s="1"/>
      <c r="Y5" s="3">
        <f>378219+370032+411177+380009</f>
        <v>1539437</v>
      </c>
      <c r="Z5" s="3">
        <f>23824+28150+5192</f>
        <v>57166</v>
      </c>
      <c r="AA5" s="3"/>
      <c r="AB5" s="4">
        <f>Y5+Z5+AA5</f>
        <v>1596603</v>
      </c>
    </row>
    <row r="6" spans="1:28" x14ac:dyDescent="0.25">
      <c r="A6" s="1">
        <v>2</v>
      </c>
      <c r="B6" s="2" t="s">
        <v>41</v>
      </c>
      <c r="C6" s="2" t="s">
        <v>42</v>
      </c>
      <c r="D6" s="1">
        <f>480+750+1180+950+850+1100+1380</f>
        <v>6690</v>
      </c>
      <c r="E6" s="1">
        <f>225+180+120+150+170+30+100</f>
        <v>975</v>
      </c>
      <c r="F6" s="1"/>
      <c r="G6" s="1"/>
      <c r="H6" s="1"/>
      <c r="I6" s="1">
        <f>80+130+50+120+10</f>
        <v>390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>
        <f>300716+387276+399727+315687+399247+301141+398994</f>
        <v>2502788</v>
      </c>
      <c r="Z6" s="3"/>
      <c r="AA6" s="3"/>
      <c r="AB6" s="4">
        <f t="shared" ref="AB6:AB72" si="0">Y6+Z6+AA6</f>
        <v>2502788</v>
      </c>
    </row>
    <row r="7" spans="1:28" x14ac:dyDescent="0.25">
      <c r="A7" s="1">
        <v>3</v>
      </c>
      <c r="B7" s="5" t="s">
        <v>43</v>
      </c>
      <c r="C7" s="2" t="s">
        <v>44</v>
      </c>
      <c r="D7" s="1">
        <f>660+768</f>
        <v>1428</v>
      </c>
      <c r="E7" s="1">
        <f>130+150</f>
        <v>280</v>
      </c>
      <c r="F7" s="1"/>
      <c r="G7" s="1">
        <v>10</v>
      </c>
      <c r="H7" s="1"/>
      <c r="I7" s="1">
        <f>80+60</f>
        <v>140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>
        <f>306466+319083</f>
        <v>625549</v>
      </c>
      <c r="Z7" s="3"/>
      <c r="AA7" s="3"/>
      <c r="AB7" s="4">
        <f t="shared" si="0"/>
        <v>625549</v>
      </c>
    </row>
    <row r="8" spans="1:28" x14ac:dyDescent="0.25">
      <c r="A8" s="1">
        <v>4</v>
      </c>
      <c r="B8" s="2" t="s">
        <v>45</v>
      </c>
      <c r="C8" s="2" t="s">
        <v>46</v>
      </c>
      <c r="D8" s="1">
        <f>400+400</f>
        <v>800</v>
      </c>
      <c r="E8" s="1">
        <f>200+80</f>
        <v>280</v>
      </c>
      <c r="F8" s="1"/>
      <c r="G8" s="1"/>
      <c r="H8" s="1">
        <v>20</v>
      </c>
      <c r="I8" s="1">
        <f>120+180</f>
        <v>300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">
        <f>300782+301120</f>
        <v>601902</v>
      </c>
      <c r="Z8" s="3"/>
      <c r="AA8" s="3"/>
      <c r="AB8" s="4">
        <f t="shared" si="0"/>
        <v>601902</v>
      </c>
    </row>
    <row r="9" spans="1:28" x14ac:dyDescent="0.25">
      <c r="A9" s="1">
        <v>5</v>
      </c>
      <c r="B9" s="2" t="s">
        <v>47</v>
      </c>
      <c r="C9" s="2" t="s">
        <v>48</v>
      </c>
      <c r="D9" s="1">
        <f>580+1000</f>
        <v>1580</v>
      </c>
      <c r="E9" s="1">
        <v>60</v>
      </c>
      <c r="F9" s="1"/>
      <c r="G9" s="1"/>
      <c r="H9" s="1"/>
      <c r="I9" s="1">
        <f>150+100</f>
        <v>250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>
        <f>300155+334757</f>
        <v>634912</v>
      </c>
      <c r="Z9" s="3"/>
      <c r="AA9" s="3"/>
      <c r="AB9" s="4">
        <f t="shared" si="0"/>
        <v>634912</v>
      </c>
    </row>
    <row r="10" spans="1:28" x14ac:dyDescent="0.25">
      <c r="A10" s="1">
        <v>6</v>
      </c>
      <c r="B10" s="2" t="s">
        <v>49</v>
      </c>
      <c r="C10" s="2" t="s">
        <v>50</v>
      </c>
      <c r="D10" s="1">
        <v>580</v>
      </c>
      <c r="E10" s="1">
        <v>100</v>
      </c>
      <c r="F10" s="1"/>
      <c r="G10" s="1"/>
      <c r="H10" s="1"/>
      <c r="I10" s="1">
        <v>125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">
        <v>299807</v>
      </c>
      <c r="Z10" s="3"/>
      <c r="AA10" s="3"/>
      <c r="AB10" s="4">
        <f t="shared" si="0"/>
        <v>299807</v>
      </c>
    </row>
    <row r="11" spans="1:28" x14ac:dyDescent="0.25">
      <c r="A11" s="1"/>
      <c r="B11" s="28" t="s">
        <v>51</v>
      </c>
      <c r="C11" s="28" t="s">
        <v>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3"/>
      <c r="AA11" s="3"/>
      <c r="AB11" s="4">
        <f t="shared" si="0"/>
        <v>0</v>
      </c>
    </row>
    <row r="12" spans="1:28" x14ac:dyDescent="0.25">
      <c r="A12" s="1">
        <v>7</v>
      </c>
      <c r="B12" s="6" t="s">
        <v>53</v>
      </c>
      <c r="C12" s="2" t="s">
        <v>54</v>
      </c>
      <c r="D12" s="1">
        <f>1300+200</f>
        <v>1500</v>
      </c>
      <c r="E12" s="1">
        <f>50+350</f>
        <v>400</v>
      </c>
      <c r="F12" s="1"/>
      <c r="G12" s="1"/>
      <c r="H12" s="1"/>
      <c r="I12" s="1">
        <f>25+60</f>
        <v>85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>
        <f>374088+276738</f>
        <v>650826</v>
      </c>
      <c r="Z12" s="3"/>
      <c r="AA12" s="3"/>
      <c r="AB12" s="4">
        <f t="shared" si="0"/>
        <v>650826</v>
      </c>
    </row>
    <row r="13" spans="1:28" x14ac:dyDescent="0.25">
      <c r="A13" s="1">
        <v>8</v>
      </c>
      <c r="B13" s="2" t="s">
        <v>55</v>
      </c>
      <c r="C13" s="2" t="s">
        <v>56</v>
      </c>
      <c r="D13" s="1">
        <v>660</v>
      </c>
      <c r="E13" s="1">
        <v>160</v>
      </c>
      <c r="F13" s="1"/>
      <c r="G13" s="1">
        <v>15</v>
      </c>
      <c r="H13" s="1"/>
      <c r="I13" s="1">
        <v>50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>
        <v>301107</v>
      </c>
      <c r="Z13" s="3"/>
      <c r="AA13" s="3"/>
      <c r="AB13" s="4">
        <f t="shared" si="0"/>
        <v>301107</v>
      </c>
    </row>
    <row r="14" spans="1:28" x14ac:dyDescent="0.25">
      <c r="A14" s="1">
        <v>9</v>
      </c>
      <c r="B14" s="2" t="s">
        <v>160</v>
      </c>
      <c r="C14" s="2" t="s">
        <v>161</v>
      </c>
      <c r="D14" s="1">
        <v>400</v>
      </c>
      <c r="E14" s="1">
        <v>200</v>
      </c>
      <c r="F14" s="1"/>
      <c r="G14" s="1">
        <v>25</v>
      </c>
      <c r="H14" s="1">
        <v>15</v>
      </c>
      <c r="I14" s="1">
        <v>200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>
        <v>396086</v>
      </c>
      <c r="Z14" s="3"/>
      <c r="AA14" s="3"/>
      <c r="AB14" s="4">
        <f t="shared" si="0"/>
        <v>396086</v>
      </c>
    </row>
    <row r="15" spans="1:28" x14ac:dyDescent="0.25">
      <c r="A15" s="1"/>
      <c r="B15" s="28" t="s">
        <v>159</v>
      </c>
      <c r="C15" s="28" t="s">
        <v>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  <c r="AA15" s="3"/>
      <c r="AB15" s="4">
        <f t="shared" si="0"/>
        <v>0</v>
      </c>
    </row>
    <row r="16" spans="1:28" x14ac:dyDescent="0.25">
      <c r="A16" s="1">
        <v>10</v>
      </c>
      <c r="B16" s="2" t="s">
        <v>59</v>
      </c>
      <c r="C16" s="2" t="s">
        <v>60</v>
      </c>
      <c r="D16" s="1">
        <v>450</v>
      </c>
      <c r="E16" s="1">
        <v>130</v>
      </c>
      <c r="F16" s="1"/>
      <c r="G16" s="1">
        <v>30</v>
      </c>
      <c r="H16" s="1"/>
      <c r="I16" s="1">
        <v>120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>
        <v>302963</v>
      </c>
      <c r="Z16" s="3"/>
      <c r="AA16" s="3"/>
      <c r="AB16" s="4">
        <f t="shared" si="0"/>
        <v>302963</v>
      </c>
    </row>
    <row r="17" spans="1:28" x14ac:dyDescent="0.25">
      <c r="A17" s="1">
        <v>11</v>
      </c>
      <c r="B17" s="2" t="s">
        <v>61</v>
      </c>
      <c r="C17" s="2" t="s">
        <v>62</v>
      </c>
      <c r="D17" s="1">
        <f>694+1000+825+600</f>
        <v>3119</v>
      </c>
      <c r="E17" s="1">
        <f>235+170+110+300</f>
        <v>815</v>
      </c>
      <c r="F17" s="1"/>
      <c r="G17" s="1">
        <f>12+3</f>
        <v>15</v>
      </c>
      <c r="H17" s="1">
        <v>3</v>
      </c>
      <c r="I17" s="1">
        <f>175+210+25+130</f>
        <v>540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>
        <f>437946+511151+294445+414285</f>
        <v>1657827</v>
      </c>
      <c r="Z17" s="3"/>
      <c r="AA17" s="3"/>
      <c r="AB17" s="4">
        <f t="shared" si="0"/>
        <v>1657827</v>
      </c>
    </row>
    <row r="18" spans="1:28" x14ac:dyDescent="0.25">
      <c r="A18" s="1">
        <v>12</v>
      </c>
      <c r="B18" s="2" t="s">
        <v>63</v>
      </c>
      <c r="C18" s="2" t="s">
        <v>64</v>
      </c>
      <c r="D18" s="1">
        <v>900</v>
      </c>
      <c r="E18" s="1">
        <v>100</v>
      </c>
      <c r="F18" s="1"/>
      <c r="G18" s="1">
        <v>15</v>
      </c>
      <c r="H18" s="1"/>
      <c r="I18" s="1">
        <v>10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>
        <v>298484</v>
      </c>
      <c r="Z18" s="3"/>
      <c r="AA18" s="3"/>
      <c r="AB18" s="4">
        <f t="shared" si="0"/>
        <v>298484</v>
      </c>
    </row>
    <row r="19" spans="1:28" x14ac:dyDescent="0.25">
      <c r="A19" s="1">
        <v>13</v>
      </c>
      <c r="B19" s="6" t="s">
        <v>65</v>
      </c>
      <c r="C19" s="2" t="s">
        <v>66</v>
      </c>
      <c r="D19" s="1">
        <f>1800+1500</f>
        <v>3300</v>
      </c>
      <c r="E19" s="1">
        <f>200+300</f>
        <v>500</v>
      </c>
      <c r="F19" s="1"/>
      <c r="G19" s="1">
        <f>25+10</f>
        <v>35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>
        <f>542669+538683</f>
        <v>1081352</v>
      </c>
      <c r="Z19" s="3"/>
      <c r="AA19" s="3"/>
      <c r="AB19" s="4">
        <f t="shared" si="0"/>
        <v>1081352</v>
      </c>
    </row>
    <row r="20" spans="1:28" x14ac:dyDescent="0.25">
      <c r="A20" s="1">
        <v>14</v>
      </c>
      <c r="B20" s="6" t="s">
        <v>67</v>
      </c>
      <c r="C20" s="2" t="s">
        <v>68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3"/>
      <c r="AA20" s="3"/>
      <c r="AB20" s="4">
        <f t="shared" si="0"/>
        <v>0</v>
      </c>
    </row>
    <row r="21" spans="1:28" x14ac:dyDescent="0.25">
      <c r="A21" s="1">
        <v>15</v>
      </c>
      <c r="B21" s="6" t="s">
        <v>69</v>
      </c>
      <c r="C21" s="2" t="s">
        <v>70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  <c r="AA21" s="3"/>
      <c r="AB21" s="4">
        <f t="shared" si="0"/>
        <v>0</v>
      </c>
    </row>
    <row r="22" spans="1:28" x14ac:dyDescent="0.25">
      <c r="A22" s="1">
        <v>16</v>
      </c>
      <c r="B22" s="6" t="s">
        <v>178</v>
      </c>
      <c r="C22" s="2" t="s">
        <v>70</v>
      </c>
      <c r="D22" s="1">
        <v>400</v>
      </c>
      <c r="E22" s="1">
        <v>437</v>
      </c>
      <c r="F22" s="1"/>
      <c r="G22" s="1">
        <v>50</v>
      </c>
      <c r="H22" s="1"/>
      <c r="I22" s="1">
        <v>75</v>
      </c>
      <c r="J22" s="1"/>
      <c r="K22" s="1"/>
      <c r="L22" s="1">
        <v>5</v>
      </c>
      <c r="M22" s="1">
        <v>5</v>
      </c>
      <c r="N22" s="1">
        <v>5</v>
      </c>
      <c r="O22" s="1">
        <v>5</v>
      </c>
      <c r="P22" s="1"/>
      <c r="Q22" s="1"/>
      <c r="R22" s="1"/>
      <c r="S22" s="1"/>
      <c r="T22" s="1"/>
      <c r="U22" s="1"/>
      <c r="V22" s="1"/>
      <c r="W22" s="1"/>
      <c r="X22" s="1"/>
      <c r="Y22" s="3">
        <v>420510</v>
      </c>
      <c r="Z22" s="3">
        <v>14973</v>
      </c>
      <c r="AA22" s="3"/>
      <c r="AB22" s="4">
        <f t="shared" si="0"/>
        <v>435483</v>
      </c>
    </row>
    <row r="23" spans="1:28" x14ac:dyDescent="0.25">
      <c r="A23" s="1">
        <v>17</v>
      </c>
      <c r="B23" s="6" t="s">
        <v>164</v>
      </c>
      <c r="C23" s="2" t="s">
        <v>165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3"/>
      <c r="AA23" s="3"/>
      <c r="AB23" s="4">
        <f t="shared" si="0"/>
        <v>0</v>
      </c>
    </row>
    <row r="24" spans="1:28" x14ac:dyDescent="0.25">
      <c r="A24" s="1">
        <v>18</v>
      </c>
      <c r="B24" s="6" t="s">
        <v>171</v>
      </c>
      <c r="C24" s="2" t="s">
        <v>172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3"/>
      <c r="AA24" s="3"/>
      <c r="AB24" s="4">
        <f t="shared" si="0"/>
        <v>0</v>
      </c>
    </row>
    <row r="25" spans="1:28" x14ac:dyDescent="0.25">
      <c r="A25" s="1">
        <v>19</v>
      </c>
      <c r="B25" s="2" t="s">
        <v>71</v>
      </c>
      <c r="C25" s="2" t="s">
        <v>72</v>
      </c>
      <c r="D25" s="1">
        <f>450+475</f>
        <v>925</v>
      </c>
      <c r="E25" s="1">
        <f>250+250</f>
        <v>500</v>
      </c>
      <c r="F25" s="1"/>
      <c r="G25" s="1">
        <f>25+30</f>
        <v>55</v>
      </c>
      <c r="H25" s="1">
        <f>40+30</f>
        <v>70</v>
      </c>
      <c r="I25" s="1">
        <f>50+40</f>
        <v>90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>
        <f>323441+319867</f>
        <v>643308</v>
      </c>
      <c r="Z25" s="3"/>
      <c r="AA25" s="3"/>
      <c r="AB25" s="4">
        <f t="shared" si="0"/>
        <v>643308</v>
      </c>
    </row>
    <row r="26" spans="1:28" x14ac:dyDescent="0.25">
      <c r="A26" s="1">
        <v>20</v>
      </c>
      <c r="B26" s="2" t="s">
        <v>73</v>
      </c>
      <c r="C26" s="2" t="s">
        <v>74</v>
      </c>
      <c r="D26" s="1">
        <v>500</v>
      </c>
      <c r="E26" s="1">
        <v>120</v>
      </c>
      <c r="F26" s="1"/>
      <c r="G26" s="1"/>
      <c r="H26" s="1"/>
      <c r="I26" s="1">
        <v>32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">
        <v>213219</v>
      </c>
      <c r="Z26" s="3"/>
      <c r="AA26" s="3"/>
      <c r="AB26" s="4">
        <f t="shared" si="0"/>
        <v>213219</v>
      </c>
    </row>
    <row r="27" spans="1:28" x14ac:dyDescent="0.25">
      <c r="A27" s="1">
        <v>21</v>
      </c>
      <c r="B27" s="2" t="s">
        <v>75</v>
      </c>
      <c r="C27" s="2" t="s">
        <v>76</v>
      </c>
      <c r="D27" s="7">
        <v>930</v>
      </c>
      <c r="E27" s="7"/>
      <c r="F27" s="7"/>
      <c r="G27" s="7"/>
      <c r="H27" s="7">
        <v>5</v>
      </c>
      <c r="I27" s="7">
        <v>5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8">
        <v>241849</v>
      </c>
      <c r="Z27" s="8"/>
      <c r="AA27" s="8"/>
      <c r="AB27" s="4">
        <f t="shared" si="0"/>
        <v>241849</v>
      </c>
    </row>
    <row r="28" spans="1:28" x14ac:dyDescent="0.25">
      <c r="A28" s="1"/>
      <c r="B28" s="28" t="s">
        <v>77</v>
      </c>
      <c r="C28" s="28" t="s">
        <v>78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8"/>
      <c r="Z28" s="8"/>
      <c r="AA28" s="8"/>
      <c r="AB28" s="4">
        <f t="shared" si="0"/>
        <v>0</v>
      </c>
    </row>
    <row r="29" spans="1:28" x14ac:dyDescent="0.25">
      <c r="A29" s="1">
        <v>22</v>
      </c>
      <c r="B29" s="2" t="s">
        <v>79</v>
      </c>
      <c r="C29" s="2" t="s">
        <v>80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8"/>
      <c r="Z29" s="8"/>
      <c r="AA29" s="8"/>
      <c r="AB29" s="4">
        <f t="shared" si="0"/>
        <v>0</v>
      </c>
    </row>
    <row r="30" spans="1:28" x14ac:dyDescent="0.25">
      <c r="A30" s="1">
        <v>23</v>
      </c>
      <c r="B30" s="2" t="s">
        <v>81</v>
      </c>
      <c r="C30" s="2" t="s">
        <v>82</v>
      </c>
      <c r="D30" s="1">
        <f>730+700</f>
        <v>1430</v>
      </c>
      <c r="E30" s="1">
        <f>175+110</f>
        <v>285</v>
      </c>
      <c r="F30" s="1"/>
      <c r="G30" s="1"/>
      <c r="H30" s="1">
        <v>10</v>
      </c>
      <c r="I30" s="1">
        <f>25+75</f>
        <v>100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3">
        <f>293334+299851</f>
        <v>593185</v>
      </c>
      <c r="Z30" s="3"/>
      <c r="AA30" s="3"/>
      <c r="AB30" s="4">
        <f t="shared" si="0"/>
        <v>593185</v>
      </c>
    </row>
    <row r="31" spans="1:28" x14ac:dyDescent="0.25">
      <c r="A31" s="1"/>
      <c r="B31" s="28" t="s">
        <v>156</v>
      </c>
      <c r="C31" s="28" t="s">
        <v>157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"/>
      <c r="Z31" s="3"/>
      <c r="AA31" s="3"/>
      <c r="AB31" s="4">
        <f t="shared" si="0"/>
        <v>0</v>
      </c>
    </row>
    <row r="32" spans="1:28" x14ac:dyDescent="0.25">
      <c r="A32" s="1">
        <v>24</v>
      </c>
      <c r="B32" s="2" t="s">
        <v>176</v>
      </c>
      <c r="C32" s="2" t="s">
        <v>157</v>
      </c>
      <c r="D32" s="1">
        <v>880</v>
      </c>
      <c r="E32" s="1">
        <v>200</v>
      </c>
      <c r="F32" s="1"/>
      <c r="G32" s="1">
        <v>30</v>
      </c>
      <c r="H32" s="1"/>
      <c r="I32" s="1">
        <v>70</v>
      </c>
      <c r="J32" s="1"/>
      <c r="K32" s="1"/>
      <c r="L32" s="1">
        <v>5</v>
      </c>
      <c r="M32" s="1"/>
      <c r="N32" s="1">
        <v>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3">
        <v>393617</v>
      </c>
      <c r="Z32" s="3">
        <v>6304</v>
      </c>
      <c r="AA32" s="3"/>
      <c r="AB32" s="4">
        <f t="shared" si="0"/>
        <v>399921</v>
      </c>
    </row>
    <row r="33" spans="1:28" x14ac:dyDescent="0.25">
      <c r="A33" s="1">
        <v>25</v>
      </c>
      <c r="B33" s="2" t="s">
        <v>162</v>
      </c>
      <c r="C33" s="2" t="s">
        <v>163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"/>
      <c r="Z33" s="3"/>
      <c r="AA33" s="3"/>
      <c r="AB33" s="4">
        <f t="shared" si="0"/>
        <v>0</v>
      </c>
    </row>
    <row r="34" spans="1:28" x14ac:dyDescent="0.25">
      <c r="A34" s="1">
        <v>26</v>
      </c>
      <c r="B34" s="2" t="s">
        <v>83</v>
      </c>
      <c r="C34" s="2" t="s">
        <v>84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"/>
      <c r="Z34" s="3"/>
      <c r="AA34" s="3"/>
      <c r="AB34" s="4">
        <f t="shared" si="0"/>
        <v>0</v>
      </c>
    </row>
    <row r="35" spans="1:28" x14ac:dyDescent="0.25">
      <c r="A35" s="1">
        <v>27</v>
      </c>
      <c r="B35" s="2" t="s">
        <v>177</v>
      </c>
      <c r="C35" s="2" t="s">
        <v>84</v>
      </c>
      <c r="D35" s="1">
        <v>350</v>
      </c>
      <c r="E35" s="1">
        <v>400</v>
      </c>
      <c r="F35" s="1"/>
      <c r="G35" s="1"/>
      <c r="H35" s="1"/>
      <c r="I35" s="1"/>
      <c r="J35" s="1"/>
      <c r="K35" s="1"/>
      <c r="L35" s="1">
        <v>25</v>
      </c>
      <c r="M35" s="1">
        <v>13</v>
      </c>
      <c r="N35" s="1">
        <v>7</v>
      </c>
      <c r="O35" s="1">
        <v>13</v>
      </c>
      <c r="P35" s="1"/>
      <c r="Q35" s="1"/>
      <c r="R35" s="1"/>
      <c r="S35" s="1"/>
      <c r="T35" s="1"/>
      <c r="U35" s="1"/>
      <c r="V35" s="1"/>
      <c r="W35" s="1"/>
      <c r="X35" s="1"/>
      <c r="Y35" s="3">
        <v>388924</v>
      </c>
      <c r="Z35" s="3">
        <v>44359</v>
      </c>
      <c r="AA35" s="3"/>
      <c r="AB35" s="4">
        <f t="shared" si="0"/>
        <v>433283</v>
      </c>
    </row>
    <row r="36" spans="1:28" x14ac:dyDescent="0.25">
      <c r="A36" s="1">
        <v>28</v>
      </c>
      <c r="B36" s="2" t="s">
        <v>85</v>
      </c>
      <c r="C36" s="2" t="s">
        <v>86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"/>
      <c r="Z36" s="3"/>
      <c r="AA36" s="3"/>
      <c r="AB36" s="4">
        <f t="shared" si="0"/>
        <v>0</v>
      </c>
    </row>
    <row r="37" spans="1:28" x14ac:dyDescent="0.25">
      <c r="A37" s="1">
        <v>29</v>
      </c>
      <c r="B37" s="2" t="s">
        <v>87</v>
      </c>
      <c r="C37" s="2" t="s">
        <v>88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"/>
      <c r="Z37" s="3"/>
      <c r="AA37" s="3"/>
      <c r="AB37" s="4">
        <f t="shared" si="0"/>
        <v>0</v>
      </c>
    </row>
    <row r="38" spans="1:28" x14ac:dyDescent="0.25">
      <c r="A38" s="1">
        <v>30</v>
      </c>
      <c r="B38" s="2" t="s">
        <v>89</v>
      </c>
      <c r="C38" s="2" t="s">
        <v>90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3"/>
      <c r="AA38" s="3"/>
      <c r="AB38" s="4">
        <f t="shared" si="0"/>
        <v>0</v>
      </c>
    </row>
    <row r="39" spans="1:28" x14ac:dyDescent="0.25">
      <c r="A39" s="1">
        <v>31</v>
      </c>
      <c r="B39" s="2" t="s">
        <v>91</v>
      </c>
      <c r="C39" s="2" t="s">
        <v>92</v>
      </c>
      <c r="D39" s="1">
        <v>150</v>
      </c>
      <c r="E39" s="1">
        <v>480</v>
      </c>
      <c r="F39" s="1"/>
      <c r="G39" s="1">
        <v>20</v>
      </c>
      <c r="H39" s="1"/>
      <c r="I39" s="1"/>
      <c r="J39" s="1"/>
      <c r="K39" s="1"/>
      <c r="L39" s="1">
        <v>25</v>
      </c>
      <c r="M39" s="1"/>
      <c r="N39" s="1">
        <v>25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3">
        <v>359324</v>
      </c>
      <c r="Z39" s="3">
        <v>33559</v>
      </c>
      <c r="AA39" s="3"/>
      <c r="AB39" s="4">
        <f t="shared" si="0"/>
        <v>392883</v>
      </c>
    </row>
    <row r="40" spans="1:28" x14ac:dyDescent="0.25">
      <c r="A40" s="1">
        <v>32</v>
      </c>
      <c r="B40" s="2" t="s">
        <v>93</v>
      </c>
      <c r="C40" s="2" t="s">
        <v>94</v>
      </c>
      <c r="D40" s="1">
        <v>2000</v>
      </c>
      <c r="E40" s="1"/>
      <c r="F40" s="1"/>
      <c r="G40" s="1"/>
      <c r="H40" s="1"/>
      <c r="I40" s="1">
        <v>25</v>
      </c>
      <c r="J40" s="1">
        <v>25</v>
      </c>
      <c r="K40" s="1"/>
      <c r="L40" s="1">
        <v>15</v>
      </c>
      <c r="M40" s="1"/>
      <c r="N40" s="1">
        <v>15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3">
        <v>764303</v>
      </c>
      <c r="Z40" s="3">
        <v>20136</v>
      </c>
      <c r="AA40" s="3"/>
      <c r="AB40" s="4">
        <f t="shared" si="0"/>
        <v>784439</v>
      </c>
    </row>
    <row r="41" spans="1:28" x14ac:dyDescent="0.25">
      <c r="A41" s="1">
        <v>33</v>
      </c>
      <c r="B41" s="2" t="s">
        <v>95</v>
      </c>
      <c r="C41" s="2" t="s">
        <v>96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"/>
      <c r="Z41" s="3"/>
      <c r="AA41" s="3"/>
      <c r="AB41" s="4">
        <f t="shared" si="0"/>
        <v>0</v>
      </c>
    </row>
    <row r="42" spans="1:28" x14ac:dyDescent="0.25">
      <c r="A42" s="1">
        <v>34</v>
      </c>
      <c r="B42" s="2" t="s">
        <v>97</v>
      </c>
      <c r="C42" s="2" t="s">
        <v>98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3"/>
      <c r="Z42" s="3"/>
      <c r="AA42" s="3"/>
      <c r="AB42" s="4">
        <f t="shared" si="0"/>
        <v>0</v>
      </c>
    </row>
    <row r="43" spans="1:28" x14ac:dyDescent="0.25">
      <c r="A43" s="1">
        <v>35</v>
      </c>
      <c r="B43" s="2" t="s">
        <v>99</v>
      </c>
      <c r="C43" s="2" t="s">
        <v>100</v>
      </c>
      <c r="D43" s="1">
        <v>200</v>
      </c>
      <c r="E43" s="1">
        <v>1800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>
        <v>1047967</v>
      </c>
      <c r="Z43" s="3"/>
      <c r="AA43" s="3"/>
      <c r="AB43" s="4">
        <f t="shared" si="0"/>
        <v>1047967</v>
      </c>
    </row>
    <row r="44" spans="1:28" x14ac:dyDescent="0.25">
      <c r="A44" s="1">
        <v>36</v>
      </c>
      <c r="B44" s="2" t="s">
        <v>101</v>
      </c>
      <c r="C44" s="2" t="s">
        <v>102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"/>
      <c r="Z44" s="3"/>
      <c r="AA44" s="3"/>
      <c r="AB44" s="4">
        <f t="shared" si="0"/>
        <v>0</v>
      </c>
    </row>
    <row r="45" spans="1:28" x14ac:dyDescent="0.25">
      <c r="A45" s="1">
        <v>37</v>
      </c>
      <c r="B45" s="2" t="s">
        <v>103</v>
      </c>
      <c r="C45" s="2" t="s">
        <v>104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3"/>
      <c r="AA45" s="3"/>
      <c r="AB45" s="4">
        <f t="shared" si="0"/>
        <v>0</v>
      </c>
    </row>
    <row r="46" spans="1:28" x14ac:dyDescent="0.25">
      <c r="A46" s="1"/>
      <c r="B46" s="28" t="s">
        <v>152</v>
      </c>
      <c r="C46" s="28" t="s">
        <v>154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3"/>
      <c r="AA46" s="3"/>
      <c r="AB46" s="4">
        <f t="shared" si="0"/>
        <v>0</v>
      </c>
    </row>
    <row r="47" spans="1:28" x14ac:dyDescent="0.25">
      <c r="A47" s="1"/>
      <c r="B47" s="28" t="s">
        <v>153</v>
      </c>
      <c r="C47" s="28" t="s">
        <v>155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3"/>
      <c r="AA47" s="3"/>
      <c r="AB47" s="4">
        <f t="shared" si="0"/>
        <v>0</v>
      </c>
    </row>
    <row r="48" spans="1:28" x14ac:dyDescent="0.25">
      <c r="A48" s="1">
        <v>38</v>
      </c>
      <c r="B48" s="2" t="s">
        <v>167</v>
      </c>
      <c r="C48" s="2" t="s">
        <v>168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/>
      <c r="Z48" s="3"/>
      <c r="AA48" s="3"/>
      <c r="AB48" s="4">
        <f t="shared" si="0"/>
        <v>0</v>
      </c>
    </row>
    <row r="49" spans="1:28" x14ac:dyDescent="0.25">
      <c r="A49" s="1">
        <v>39</v>
      </c>
      <c r="B49" s="2" t="s">
        <v>169</v>
      </c>
      <c r="C49" s="2" t="s">
        <v>170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/>
      <c r="Z49" s="3"/>
      <c r="AA49" s="3"/>
      <c r="AB49" s="4">
        <f t="shared" si="0"/>
        <v>0</v>
      </c>
    </row>
    <row r="50" spans="1:28" x14ac:dyDescent="0.25">
      <c r="A50" s="1">
        <v>40</v>
      </c>
      <c r="B50" s="2" t="s">
        <v>105</v>
      </c>
      <c r="C50" s="2" t="s">
        <v>106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3"/>
      <c r="AA50" s="3"/>
      <c r="AB50" s="4">
        <f t="shared" si="0"/>
        <v>0</v>
      </c>
    </row>
    <row r="51" spans="1:28" x14ac:dyDescent="0.25">
      <c r="A51" s="1">
        <v>41</v>
      </c>
      <c r="B51" s="2" t="s">
        <v>107</v>
      </c>
      <c r="C51" s="2" t="s">
        <v>108</v>
      </c>
      <c r="D51" s="1">
        <v>800</v>
      </c>
      <c r="E51" s="1">
        <v>200</v>
      </c>
      <c r="F51" s="1"/>
      <c r="G51" s="1"/>
      <c r="H51" s="1"/>
      <c r="I51" s="1">
        <v>75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>
        <v>357475</v>
      </c>
      <c r="Z51" s="3"/>
      <c r="AA51" s="3"/>
      <c r="AB51" s="4">
        <f t="shared" si="0"/>
        <v>357475</v>
      </c>
    </row>
    <row r="52" spans="1:28" x14ac:dyDescent="0.25">
      <c r="A52" s="1">
        <v>42</v>
      </c>
      <c r="B52" s="2" t="s">
        <v>109</v>
      </c>
      <c r="C52" s="2" t="s">
        <v>110</v>
      </c>
      <c r="D52" s="1">
        <v>1140</v>
      </c>
      <c r="E52" s="1">
        <v>70</v>
      </c>
      <c r="F52" s="1"/>
      <c r="G52" s="1"/>
      <c r="H52" s="1"/>
      <c r="I52" s="1"/>
      <c r="J52" s="1"/>
      <c r="K52" s="1"/>
      <c r="L52" s="1">
        <v>10</v>
      </c>
      <c r="M52" s="1">
        <v>20</v>
      </c>
      <c r="N52" s="1">
        <v>30</v>
      </c>
      <c r="O52" s="1">
        <v>40</v>
      </c>
      <c r="P52" s="1"/>
      <c r="Q52" s="1"/>
      <c r="R52" s="1"/>
      <c r="S52" s="1"/>
      <c r="T52" s="1"/>
      <c r="U52" s="1"/>
      <c r="V52" s="1"/>
      <c r="W52" s="1"/>
      <c r="X52" s="1"/>
      <c r="Y52" s="3">
        <v>323232</v>
      </c>
      <c r="Z52" s="3">
        <v>77908</v>
      </c>
      <c r="AA52" s="3"/>
      <c r="AB52" s="4">
        <f t="shared" si="0"/>
        <v>401140</v>
      </c>
    </row>
    <row r="53" spans="1:28" x14ac:dyDescent="0.25">
      <c r="A53" s="1">
        <v>43</v>
      </c>
      <c r="B53" s="2" t="s">
        <v>173</v>
      </c>
      <c r="C53" s="2" t="s">
        <v>174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3"/>
      <c r="AA53" s="3"/>
      <c r="AB53" s="4">
        <f t="shared" si="0"/>
        <v>0</v>
      </c>
    </row>
    <row r="54" spans="1:28" x14ac:dyDescent="0.25">
      <c r="A54" s="1">
        <v>44</v>
      </c>
      <c r="B54" s="2" t="s">
        <v>179</v>
      </c>
      <c r="C54" s="2" t="s">
        <v>174</v>
      </c>
      <c r="D54" s="1">
        <v>780</v>
      </c>
      <c r="E54" s="1">
        <v>150</v>
      </c>
      <c r="F54" s="1"/>
      <c r="G54" s="1"/>
      <c r="H54" s="1"/>
      <c r="I54" s="1">
        <v>25</v>
      </c>
      <c r="J54" s="1"/>
      <c r="K54" s="1"/>
      <c r="L54" s="1">
        <v>30</v>
      </c>
      <c r="M54" s="1">
        <v>40</v>
      </c>
      <c r="N54" s="1">
        <v>86</v>
      </c>
      <c r="O54" s="1">
        <v>60</v>
      </c>
      <c r="P54" s="1"/>
      <c r="Q54" s="1"/>
      <c r="R54" s="1"/>
      <c r="S54" s="1"/>
      <c r="T54" s="1"/>
      <c r="U54" s="1"/>
      <c r="V54" s="1"/>
      <c r="W54" s="1"/>
      <c r="X54" s="1"/>
      <c r="Y54" s="3">
        <v>293324</v>
      </c>
      <c r="Z54" s="3">
        <v>161911</v>
      </c>
      <c r="AA54" s="3"/>
      <c r="AB54" s="4">
        <f t="shared" si="0"/>
        <v>455235</v>
      </c>
    </row>
    <row r="55" spans="1:28" x14ac:dyDescent="0.25">
      <c r="A55" s="1">
        <v>45</v>
      </c>
      <c r="B55" s="5" t="s">
        <v>111</v>
      </c>
      <c r="C55" s="2" t="s">
        <v>112</v>
      </c>
      <c r="D55" s="1">
        <v>500</v>
      </c>
      <c r="E55" s="1">
        <v>100</v>
      </c>
      <c r="F55" s="1"/>
      <c r="G55" s="1"/>
      <c r="H55" s="1"/>
      <c r="I55" s="1">
        <v>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>
        <v>183371</v>
      </c>
      <c r="Z55" s="3"/>
      <c r="AA55" s="3"/>
      <c r="AB55" s="4">
        <f t="shared" si="0"/>
        <v>183371</v>
      </c>
    </row>
    <row r="56" spans="1:28" x14ac:dyDescent="0.25">
      <c r="A56" s="1">
        <v>46</v>
      </c>
      <c r="B56" s="2" t="s">
        <v>113</v>
      </c>
      <c r="C56" s="2" t="s">
        <v>114</v>
      </c>
      <c r="D56" s="1">
        <v>12</v>
      </c>
      <c r="E56" s="1">
        <v>5</v>
      </c>
      <c r="F56" s="1"/>
      <c r="G56" s="1"/>
      <c r="H56" s="1">
        <v>10</v>
      </c>
      <c r="I56" s="1">
        <v>108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>
        <v>100206</v>
      </c>
      <c r="Z56" s="3"/>
      <c r="AA56" s="3"/>
      <c r="AB56" s="4">
        <f t="shared" si="0"/>
        <v>100206</v>
      </c>
    </row>
    <row r="57" spans="1:28" x14ac:dyDescent="0.25">
      <c r="A57" s="1">
        <v>47</v>
      </c>
      <c r="B57" s="2" t="s">
        <v>115</v>
      </c>
      <c r="C57" s="2" t="s">
        <v>116</v>
      </c>
      <c r="D57" s="1"/>
      <c r="E57" s="1"/>
      <c r="F57" s="1"/>
      <c r="G57" s="1"/>
      <c r="H57" s="1"/>
      <c r="I57" s="1">
        <v>152</v>
      </c>
      <c r="J57" s="1">
        <v>60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>
        <v>168645</v>
      </c>
      <c r="Z57" s="3"/>
      <c r="AA57" s="3"/>
      <c r="AB57" s="4">
        <f t="shared" si="0"/>
        <v>168645</v>
      </c>
    </row>
    <row r="58" spans="1:28" x14ac:dyDescent="0.25">
      <c r="A58" s="1">
        <v>48</v>
      </c>
      <c r="B58" s="2" t="s">
        <v>158</v>
      </c>
      <c r="C58" s="2" t="s">
        <v>118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3"/>
      <c r="AA58" s="3"/>
      <c r="AB58" s="4">
        <f t="shared" si="0"/>
        <v>0</v>
      </c>
    </row>
    <row r="59" spans="1:28" x14ac:dyDescent="0.25">
      <c r="A59" s="1">
        <v>49</v>
      </c>
      <c r="B59" s="2" t="s">
        <v>119</v>
      </c>
      <c r="C59" s="2" t="s">
        <v>120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3"/>
      <c r="AA59" s="3"/>
      <c r="AB59" s="4">
        <f t="shared" si="0"/>
        <v>0</v>
      </c>
    </row>
    <row r="60" spans="1:28" x14ac:dyDescent="0.25">
      <c r="A60" s="1">
        <v>50</v>
      </c>
      <c r="B60" s="2" t="s">
        <v>121</v>
      </c>
      <c r="C60" s="2" t="s">
        <v>122</v>
      </c>
      <c r="D60" s="1">
        <f>800+700+750</f>
        <v>2250</v>
      </c>
      <c r="E60" s="1">
        <f>70+170+150</f>
        <v>390</v>
      </c>
      <c r="F60" s="1"/>
      <c r="G60" s="1">
        <v>15</v>
      </c>
      <c r="H60" s="1">
        <v>2</v>
      </c>
      <c r="I60" s="1">
        <f>60+30+30</f>
        <v>120</v>
      </c>
      <c r="J60" s="1"/>
      <c r="K60" s="1"/>
      <c r="L60" s="1">
        <f>5+3</f>
        <v>8</v>
      </c>
      <c r="M60" s="1">
        <f>5+2</f>
        <v>7</v>
      </c>
      <c r="N60" s="1"/>
      <c r="O60" s="1">
        <f>5+4</f>
        <v>9</v>
      </c>
      <c r="P60" s="1"/>
      <c r="Q60" s="1"/>
      <c r="R60" s="1"/>
      <c r="S60" s="1"/>
      <c r="T60" s="1"/>
      <c r="U60" s="1"/>
      <c r="V60" s="1"/>
      <c r="W60" s="1"/>
      <c r="X60" s="1"/>
      <c r="Y60" s="3">
        <f>286732+299811+291025</f>
        <v>877568</v>
      </c>
      <c r="Z60" s="3">
        <f>11901+7141</f>
        <v>19042</v>
      </c>
      <c r="AA60" s="3"/>
      <c r="AB60" s="4">
        <f t="shared" si="0"/>
        <v>896610</v>
      </c>
    </row>
    <row r="61" spans="1:28" x14ac:dyDescent="0.25">
      <c r="A61" s="1">
        <v>51</v>
      </c>
      <c r="B61" s="5" t="s">
        <v>123</v>
      </c>
      <c r="C61" s="2" t="s">
        <v>124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3"/>
      <c r="AA61" s="3"/>
      <c r="AB61" s="4">
        <f t="shared" si="0"/>
        <v>0</v>
      </c>
    </row>
    <row r="62" spans="1:28" x14ac:dyDescent="0.25">
      <c r="A62" s="1">
        <v>52</v>
      </c>
      <c r="B62" s="5" t="s">
        <v>125</v>
      </c>
      <c r="C62" s="2" t="s">
        <v>126</v>
      </c>
      <c r="D62" s="1">
        <v>195</v>
      </c>
      <c r="E62" s="1">
        <v>150</v>
      </c>
      <c r="F62" s="1"/>
      <c r="G62" s="1">
        <v>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>
        <v>129202</v>
      </c>
      <c r="Z62" s="3"/>
      <c r="AA62" s="3"/>
      <c r="AB62" s="4">
        <f t="shared" si="0"/>
        <v>129202</v>
      </c>
    </row>
    <row r="63" spans="1:28" x14ac:dyDescent="0.25">
      <c r="A63" s="1">
        <v>53</v>
      </c>
      <c r="B63" s="2" t="s">
        <v>127</v>
      </c>
      <c r="C63" s="2" t="s">
        <v>128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3"/>
      <c r="AA63" s="3"/>
      <c r="AB63" s="4">
        <f t="shared" si="0"/>
        <v>0</v>
      </c>
    </row>
    <row r="64" spans="1:28" x14ac:dyDescent="0.25">
      <c r="A64" s="1"/>
      <c r="B64" s="28" t="s">
        <v>129</v>
      </c>
      <c r="C64" s="28" t="s">
        <v>130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  <c r="AB64" s="4">
        <f t="shared" si="0"/>
        <v>0</v>
      </c>
    </row>
    <row r="65" spans="1:28" x14ac:dyDescent="0.25">
      <c r="A65" s="1">
        <v>54</v>
      </c>
      <c r="B65" s="5" t="s">
        <v>131</v>
      </c>
      <c r="C65" s="5" t="s">
        <v>132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3"/>
      <c r="AA65" s="3"/>
      <c r="AB65" s="4">
        <f t="shared" si="0"/>
        <v>0</v>
      </c>
    </row>
    <row r="66" spans="1:28" x14ac:dyDescent="0.25">
      <c r="A66" s="1">
        <v>55</v>
      </c>
      <c r="B66" s="2" t="s">
        <v>133</v>
      </c>
      <c r="C66" s="2" t="s">
        <v>132</v>
      </c>
      <c r="D66" s="1">
        <v>184</v>
      </c>
      <c r="E66" s="1">
        <v>5</v>
      </c>
      <c r="F66" s="1"/>
      <c r="G66" s="1"/>
      <c r="H66" s="1">
        <v>10</v>
      </c>
      <c r="I66" s="1">
        <v>10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>
        <v>47542</v>
      </c>
      <c r="Z66" s="3"/>
      <c r="AA66" s="3"/>
      <c r="AB66" s="4">
        <f t="shared" si="0"/>
        <v>47542</v>
      </c>
    </row>
    <row r="67" spans="1:28" x14ac:dyDescent="0.25">
      <c r="A67" s="1">
        <v>56</v>
      </c>
      <c r="B67" s="9" t="s">
        <v>134</v>
      </c>
      <c r="C67" s="2" t="s">
        <v>135</v>
      </c>
      <c r="D67" s="1">
        <v>800</v>
      </c>
      <c r="E67" s="1">
        <v>300</v>
      </c>
      <c r="F67" s="1"/>
      <c r="G67" s="1"/>
      <c r="H67" s="1">
        <v>37</v>
      </c>
      <c r="I67" s="1">
        <v>80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>
        <v>440941</v>
      </c>
      <c r="Z67" s="3"/>
      <c r="AA67" s="3"/>
      <c r="AB67" s="4">
        <f t="shared" si="0"/>
        <v>440941</v>
      </c>
    </row>
    <row r="68" spans="1:28" x14ac:dyDescent="0.25">
      <c r="A68" s="1">
        <v>57</v>
      </c>
      <c r="B68" s="9" t="s">
        <v>138</v>
      </c>
      <c r="C68" s="2" t="s">
        <v>139</v>
      </c>
      <c r="D68" s="1">
        <v>490</v>
      </c>
      <c r="E68" s="1"/>
      <c r="F68" s="1"/>
      <c r="G68" s="1"/>
      <c r="H68" s="1"/>
      <c r="I68" s="1">
        <v>25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>
        <v>144290</v>
      </c>
      <c r="Z68" s="3"/>
      <c r="AA68" s="3"/>
      <c r="AB68" s="4">
        <f t="shared" si="0"/>
        <v>144290</v>
      </c>
    </row>
    <row r="69" spans="1:28" x14ac:dyDescent="0.25">
      <c r="A69" s="1">
        <v>58</v>
      </c>
      <c r="B69" s="9" t="s">
        <v>142</v>
      </c>
      <c r="C69" s="2" t="s">
        <v>143</v>
      </c>
      <c r="D69" s="1">
        <f>60+25</f>
        <v>85</v>
      </c>
      <c r="E69" s="1">
        <f>33+20</f>
        <v>53</v>
      </c>
      <c r="F69" s="1"/>
      <c r="G69" s="1">
        <v>5</v>
      </c>
      <c r="H69" s="1">
        <v>5</v>
      </c>
      <c r="I69" s="1">
        <f>25+10</f>
        <v>35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>
        <f>63338+26232</f>
        <v>89570</v>
      </c>
      <c r="Z69" s="3"/>
      <c r="AA69" s="3"/>
      <c r="AB69" s="4">
        <f t="shared" si="0"/>
        <v>89570</v>
      </c>
    </row>
    <row r="70" spans="1:28" x14ac:dyDescent="0.25">
      <c r="A70" s="1">
        <v>59</v>
      </c>
      <c r="B70" s="5" t="s">
        <v>146</v>
      </c>
      <c r="C70" s="2" t="s">
        <v>147</v>
      </c>
      <c r="D70" s="1">
        <f>35+35+45</f>
        <v>115</v>
      </c>
      <c r="E70" s="1">
        <f>10+15+18</f>
        <v>43</v>
      </c>
      <c r="F70" s="1"/>
      <c r="G70" s="1"/>
      <c r="H70" s="1"/>
      <c r="I70" s="1">
        <f>20+12+20</f>
        <v>52</v>
      </c>
      <c r="J70" s="1"/>
      <c r="K70" s="1"/>
      <c r="L70" s="1">
        <f>1+1</f>
        <v>2</v>
      </c>
      <c r="M70" s="1">
        <f>1+1</f>
        <v>2</v>
      </c>
      <c r="N70" s="1">
        <f>1</f>
        <v>1</v>
      </c>
      <c r="O70" s="1">
        <f>1+1</f>
        <v>2</v>
      </c>
      <c r="P70" s="1"/>
      <c r="Q70" s="1"/>
      <c r="R70" s="1"/>
      <c r="S70" s="1"/>
      <c r="T70" s="1"/>
      <c r="U70" s="1"/>
      <c r="V70" s="1"/>
      <c r="W70" s="1"/>
      <c r="X70" s="1"/>
      <c r="Y70" s="3">
        <f>32392+27999+39350</f>
        <v>99741</v>
      </c>
      <c r="Z70" s="3">
        <f>3212+688+1835</f>
        <v>5735</v>
      </c>
      <c r="AA70" s="3"/>
      <c r="AB70" s="4">
        <f t="shared" si="0"/>
        <v>105476</v>
      </c>
    </row>
    <row r="71" spans="1:28" ht="15.75" thickBot="1" x14ac:dyDescent="0.3">
      <c r="A71" s="1">
        <v>60</v>
      </c>
      <c r="B71" s="10" t="s">
        <v>148</v>
      </c>
      <c r="C71" s="11" t="s">
        <v>149</v>
      </c>
      <c r="D71" s="12">
        <v>120</v>
      </c>
      <c r="E71" s="12">
        <v>5</v>
      </c>
      <c r="F71" s="12"/>
      <c r="G71" s="12"/>
      <c r="H71" s="12">
        <v>3</v>
      </c>
      <c r="I71" s="12">
        <v>10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3">
        <v>45502</v>
      </c>
      <c r="Z71" s="13"/>
      <c r="AA71" s="13"/>
      <c r="AB71" s="4">
        <f t="shared" si="0"/>
        <v>45502</v>
      </c>
    </row>
    <row r="72" spans="1:28" ht="15.75" thickBot="1" x14ac:dyDescent="0.3">
      <c r="A72" s="39" t="s">
        <v>150</v>
      </c>
      <c r="B72" s="40"/>
      <c r="C72" s="24"/>
      <c r="D72" s="25">
        <f t="shared" ref="D72:AA72" si="1">SUM(D5:D71)</f>
        <v>40830</v>
      </c>
      <c r="E72" s="25">
        <f t="shared" si="1"/>
        <v>10403</v>
      </c>
      <c r="F72" s="25">
        <f t="shared" si="1"/>
        <v>0</v>
      </c>
      <c r="G72" s="25">
        <f t="shared" si="1"/>
        <v>325</v>
      </c>
      <c r="H72" s="25">
        <f t="shared" si="1"/>
        <v>190</v>
      </c>
      <c r="I72" s="25">
        <f t="shared" si="1"/>
        <v>3457</v>
      </c>
      <c r="J72" s="25">
        <f t="shared" si="1"/>
        <v>85</v>
      </c>
      <c r="K72" s="25">
        <f t="shared" si="1"/>
        <v>0</v>
      </c>
      <c r="L72" s="25">
        <f t="shared" si="1"/>
        <v>155</v>
      </c>
      <c r="M72" s="25">
        <f t="shared" si="1"/>
        <v>95</v>
      </c>
      <c r="N72" s="25">
        <f t="shared" si="1"/>
        <v>204</v>
      </c>
      <c r="O72" s="25">
        <f t="shared" si="1"/>
        <v>142</v>
      </c>
      <c r="P72" s="25">
        <f t="shared" si="1"/>
        <v>0</v>
      </c>
      <c r="Q72" s="25">
        <f t="shared" si="1"/>
        <v>0</v>
      </c>
      <c r="R72" s="25">
        <f t="shared" si="1"/>
        <v>0</v>
      </c>
      <c r="S72" s="25">
        <f t="shared" si="1"/>
        <v>0</v>
      </c>
      <c r="T72" s="25">
        <f t="shared" si="1"/>
        <v>0</v>
      </c>
      <c r="U72" s="25">
        <f t="shared" si="1"/>
        <v>0</v>
      </c>
      <c r="V72" s="25">
        <f t="shared" si="1"/>
        <v>0</v>
      </c>
      <c r="W72" s="25">
        <f t="shared" si="1"/>
        <v>0</v>
      </c>
      <c r="X72" s="25">
        <f t="shared" si="1"/>
        <v>0</v>
      </c>
      <c r="Y72" s="26">
        <f t="shared" si="1"/>
        <v>19259855</v>
      </c>
      <c r="Z72" s="26">
        <f t="shared" si="1"/>
        <v>441093</v>
      </c>
      <c r="AA72" s="26">
        <f t="shared" si="1"/>
        <v>0</v>
      </c>
      <c r="AB72" s="27">
        <f t="shared" si="0"/>
        <v>19700948</v>
      </c>
    </row>
  </sheetData>
  <mergeCells count="3">
    <mergeCell ref="A1:AB1"/>
    <mergeCell ref="A2:AB2"/>
    <mergeCell ref="A72:B7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257D-1C65-49F2-AF48-E9A8D7C8D167}">
  <dimension ref="A1:P70"/>
  <sheetViews>
    <sheetView zoomScale="90" zoomScaleNormal="90" workbookViewId="0">
      <pane ySplit="4" topLeftCell="A5" activePane="bottomLeft" state="frozen"/>
      <selection pane="bottomLeft" activeCell="P5" sqref="P5"/>
    </sheetView>
  </sheetViews>
  <sheetFormatPr defaultRowHeight="15" x14ac:dyDescent="0.25"/>
  <cols>
    <col min="1" max="1" width="6.42578125" bestFit="1" customWidth="1"/>
    <col min="2" max="2" width="27.140625" bestFit="1" customWidth="1"/>
    <col min="3" max="3" width="15.5703125" bestFit="1" customWidth="1"/>
    <col min="4" max="4" width="8.42578125" style="14" customWidth="1"/>
    <col min="5" max="5" width="9" style="14" customWidth="1"/>
    <col min="6" max="6" width="8.42578125" style="14" customWidth="1"/>
    <col min="7" max="9" width="8.7109375" style="14" customWidth="1"/>
    <col min="10" max="11" width="9" style="14" customWidth="1"/>
    <col min="12" max="12" width="8.7109375" style="14" customWidth="1"/>
    <col min="13" max="13" width="8.28515625" style="14" customWidth="1"/>
    <col min="14" max="14" width="14.140625" style="14" bestFit="1" customWidth="1"/>
    <col min="15" max="15" width="12.5703125" style="14" bestFit="1" customWidth="1"/>
    <col min="16" max="16" width="14.140625" bestFit="1" customWidth="1"/>
  </cols>
  <sheetData>
    <row r="1" spans="1:16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9.5" thickBot="1" x14ac:dyDescent="0.35">
      <c r="A2" s="38" t="s">
        <v>180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63.75" thickBot="1" x14ac:dyDescent="0.3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25</v>
      </c>
      <c r="O3" s="18" t="s">
        <v>26</v>
      </c>
      <c r="P3" s="19" t="s">
        <v>28</v>
      </c>
    </row>
    <row r="4" spans="1:16" ht="15.75" thickBot="1" x14ac:dyDescent="0.3">
      <c r="A4" s="20"/>
      <c r="B4" s="21"/>
      <c r="C4" s="21"/>
      <c r="D4" s="22" t="s">
        <v>29</v>
      </c>
      <c r="E4" s="22" t="s">
        <v>30</v>
      </c>
      <c r="F4" s="22" t="s">
        <v>32</v>
      </c>
      <c r="G4" s="22" t="s">
        <v>33</v>
      </c>
      <c r="H4" s="22" t="s">
        <v>34</v>
      </c>
      <c r="I4" s="22" t="s">
        <v>35</v>
      </c>
      <c r="J4" s="22" t="s">
        <v>36</v>
      </c>
      <c r="K4" s="22" t="s">
        <v>29</v>
      </c>
      <c r="L4" s="22" t="s">
        <v>36</v>
      </c>
      <c r="M4" s="22" t="s">
        <v>29</v>
      </c>
      <c r="N4" s="22"/>
      <c r="O4" s="22"/>
      <c r="P4" s="23"/>
    </row>
    <row r="5" spans="1:16" x14ac:dyDescent="0.25">
      <c r="A5" s="1">
        <v>1</v>
      </c>
      <c r="B5" s="2" t="s">
        <v>39</v>
      </c>
      <c r="C5" s="2" t="s">
        <v>40</v>
      </c>
      <c r="D5" s="1">
        <f>750+1100+750+1100+900</f>
        <v>4600</v>
      </c>
      <c r="E5" s="1">
        <f>200+200+200+250+180</f>
        <v>1030</v>
      </c>
      <c r="F5" s="1">
        <v>10</v>
      </c>
      <c r="G5" s="1"/>
      <c r="H5" s="1">
        <f>125+120+50</f>
        <v>295</v>
      </c>
      <c r="I5" s="1"/>
      <c r="J5" s="1">
        <f>15+15+20+20</f>
        <v>70</v>
      </c>
      <c r="K5" s="1">
        <f>10+10</f>
        <v>20</v>
      </c>
      <c r="L5" s="1">
        <f>15+10+5+20</f>
        <v>50</v>
      </c>
      <c r="M5" s="1">
        <f>5+10</f>
        <v>15</v>
      </c>
      <c r="N5" s="3">
        <f>401582+378832+389158+404101+359349</f>
        <v>1933022</v>
      </c>
      <c r="O5" s="3">
        <f>19498+29226+16249+43302</f>
        <v>108275</v>
      </c>
      <c r="P5" s="4">
        <f>N5+O5</f>
        <v>2041297</v>
      </c>
    </row>
    <row r="6" spans="1:16" x14ac:dyDescent="0.25">
      <c r="A6" s="1">
        <v>2</v>
      </c>
      <c r="B6" s="2" t="s">
        <v>41</v>
      </c>
      <c r="C6" s="2" t="s">
        <v>42</v>
      </c>
      <c r="D6" s="1">
        <f>1000+845+1120+850+900+1280+1110+1000+1180</f>
        <v>9285</v>
      </c>
      <c r="E6" s="1">
        <f>200+100+100+120+175+100+350+150</f>
        <v>1295</v>
      </c>
      <c r="F6" s="1"/>
      <c r="G6" s="1"/>
      <c r="H6" s="1">
        <f>60+150+80+30+150+30+25+30</f>
        <v>555</v>
      </c>
      <c r="I6" s="1"/>
      <c r="J6" s="1"/>
      <c r="K6" s="1"/>
      <c r="L6" s="1"/>
      <c r="M6" s="1"/>
      <c r="N6" s="3">
        <f>402933+387284+399145+299951+439075+398420+300843+429389+398438</f>
        <v>3455478</v>
      </c>
      <c r="O6" s="3"/>
      <c r="P6" s="4">
        <f t="shared" ref="P6:P67" si="0">N6+O6</f>
        <v>3455478</v>
      </c>
    </row>
    <row r="7" spans="1:16" x14ac:dyDescent="0.25">
      <c r="A7" s="1">
        <v>3</v>
      </c>
      <c r="B7" s="5" t="s">
        <v>43</v>
      </c>
      <c r="C7" s="2" t="s">
        <v>44</v>
      </c>
      <c r="D7" s="1">
        <v>700</v>
      </c>
      <c r="E7" s="1">
        <v>100</v>
      </c>
      <c r="F7" s="1">
        <v>10</v>
      </c>
      <c r="G7" s="1"/>
      <c r="H7" s="1">
        <v>80</v>
      </c>
      <c r="I7" s="1"/>
      <c r="J7" s="1"/>
      <c r="K7" s="1"/>
      <c r="L7" s="1"/>
      <c r="M7" s="1"/>
      <c r="N7" s="3">
        <v>301405</v>
      </c>
      <c r="O7" s="3"/>
      <c r="P7" s="4">
        <f t="shared" si="0"/>
        <v>301405</v>
      </c>
    </row>
    <row r="8" spans="1:16" x14ac:dyDescent="0.25">
      <c r="A8" s="1">
        <v>4</v>
      </c>
      <c r="B8" s="2" t="s">
        <v>45</v>
      </c>
      <c r="C8" s="2" t="s">
        <v>46</v>
      </c>
      <c r="D8" s="1">
        <f>600+400</f>
        <v>1000</v>
      </c>
      <c r="E8" s="1">
        <f>100+150</f>
        <v>250</v>
      </c>
      <c r="F8" s="1">
        <v>6</v>
      </c>
      <c r="G8" s="1">
        <f>30+20</f>
        <v>50</v>
      </c>
      <c r="H8" s="1">
        <f>100+130</f>
        <v>230</v>
      </c>
      <c r="I8" s="1"/>
      <c r="J8" s="1"/>
      <c r="K8" s="1"/>
      <c r="L8" s="1"/>
      <c r="M8" s="1"/>
      <c r="N8" s="3">
        <f>301742+300357</f>
        <v>602099</v>
      </c>
      <c r="O8" s="3"/>
      <c r="P8" s="4">
        <f t="shared" si="0"/>
        <v>602099</v>
      </c>
    </row>
    <row r="9" spans="1:16" x14ac:dyDescent="0.25">
      <c r="A9" s="1">
        <v>5</v>
      </c>
      <c r="B9" s="2" t="s">
        <v>47</v>
      </c>
      <c r="C9" s="2" t="s">
        <v>48</v>
      </c>
      <c r="D9" s="1">
        <f>720+800</f>
        <v>1520</v>
      </c>
      <c r="E9" s="1">
        <f>70+40</f>
        <v>110</v>
      </c>
      <c r="F9" s="1"/>
      <c r="G9" s="1"/>
      <c r="H9" s="1">
        <f>100+95</f>
        <v>195</v>
      </c>
      <c r="I9" s="1"/>
      <c r="J9" s="1"/>
      <c r="K9" s="1"/>
      <c r="L9" s="1"/>
      <c r="M9" s="1"/>
      <c r="N9" s="3">
        <f>299433+300359</f>
        <v>599792</v>
      </c>
      <c r="O9" s="3"/>
      <c r="P9" s="4">
        <f t="shared" si="0"/>
        <v>599792</v>
      </c>
    </row>
    <row r="10" spans="1:16" x14ac:dyDescent="0.25">
      <c r="A10" s="1">
        <v>6</v>
      </c>
      <c r="B10" s="2" t="s">
        <v>49</v>
      </c>
      <c r="C10" s="2" t="s">
        <v>50</v>
      </c>
      <c r="D10" s="1">
        <f>735+1000</f>
        <v>1735</v>
      </c>
      <c r="E10" s="1">
        <f>80+75</f>
        <v>155</v>
      </c>
      <c r="F10" s="1"/>
      <c r="G10" s="1"/>
      <c r="H10" s="1">
        <f>80+125</f>
        <v>205</v>
      </c>
      <c r="I10" s="1"/>
      <c r="J10" s="1"/>
      <c r="K10" s="1"/>
      <c r="L10" s="1"/>
      <c r="M10" s="1"/>
      <c r="N10" s="3">
        <f>291824+393224</f>
        <v>685048</v>
      </c>
      <c r="O10" s="3"/>
      <c r="P10" s="4">
        <f t="shared" si="0"/>
        <v>685048</v>
      </c>
    </row>
    <row r="11" spans="1:16" x14ac:dyDescent="0.25">
      <c r="A11" s="1">
        <v>7</v>
      </c>
      <c r="B11" s="6" t="s">
        <v>53</v>
      </c>
      <c r="C11" s="2" t="s">
        <v>54</v>
      </c>
      <c r="D11" s="1">
        <f>725+700+500</f>
        <v>1925</v>
      </c>
      <c r="E11" s="1">
        <f>210+275+350</f>
        <v>835</v>
      </c>
      <c r="F11" s="1"/>
      <c r="G11" s="1"/>
      <c r="H11" s="1">
        <f>30+60</f>
        <v>90</v>
      </c>
      <c r="I11" s="1"/>
      <c r="J11" s="1"/>
      <c r="K11" s="1"/>
      <c r="L11" s="1"/>
      <c r="M11" s="1"/>
      <c r="N11" s="3">
        <f>313872+365086+303137</f>
        <v>982095</v>
      </c>
      <c r="O11" s="3"/>
      <c r="P11" s="4">
        <f t="shared" si="0"/>
        <v>982095</v>
      </c>
    </row>
    <row r="12" spans="1:16" x14ac:dyDescent="0.25">
      <c r="A12" s="1">
        <v>8</v>
      </c>
      <c r="B12" s="2" t="s">
        <v>55</v>
      </c>
      <c r="C12" s="2" t="s">
        <v>56</v>
      </c>
      <c r="D12" s="1">
        <v>650</v>
      </c>
      <c r="E12" s="1">
        <v>200</v>
      </c>
      <c r="F12" s="1">
        <v>15</v>
      </c>
      <c r="G12" s="1"/>
      <c r="H12" s="1">
        <v>40</v>
      </c>
      <c r="I12" s="1"/>
      <c r="J12" s="1"/>
      <c r="K12" s="1"/>
      <c r="L12" s="1"/>
      <c r="M12" s="1"/>
      <c r="N12" s="3">
        <v>310572</v>
      </c>
      <c r="O12" s="3"/>
      <c r="P12" s="4">
        <f t="shared" si="0"/>
        <v>310572</v>
      </c>
    </row>
    <row r="13" spans="1:16" x14ac:dyDescent="0.25">
      <c r="A13" s="1">
        <v>9</v>
      </c>
      <c r="B13" s="2" t="s">
        <v>160</v>
      </c>
      <c r="C13" s="2" t="s">
        <v>161</v>
      </c>
      <c r="D13" s="1">
        <v>875</v>
      </c>
      <c r="E13" s="1">
        <v>200</v>
      </c>
      <c r="F13" s="1">
        <v>25</v>
      </c>
      <c r="G13" s="1">
        <v>30</v>
      </c>
      <c r="H13" s="1">
        <v>50</v>
      </c>
      <c r="I13" s="1"/>
      <c r="J13" s="1"/>
      <c r="K13" s="1"/>
      <c r="L13" s="1"/>
      <c r="M13" s="1"/>
      <c r="N13" s="3">
        <v>401370</v>
      </c>
      <c r="O13" s="3"/>
      <c r="P13" s="4">
        <f t="shared" si="0"/>
        <v>401370</v>
      </c>
    </row>
    <row r="14" spans="1:16" x14ac:dyDescent="0.25">
      <c r="A14" s="1">
        <v>10</v>
      </c>
      <c r="B14" s="2" t="s">
        <v>59</v>
      </c>
      <c r="C14" s="2" t="s">
        <v>60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3"/>
      <c r="O14" s="3"/>
      <c r="P14" s="4">
        <f t="shared" si="0"/>
        <v>0</v>
      </c>
    </row>
    <row r="15" spans="1:16" x14ac:dyDescent="0.25">
      <c r="A15" s="1">
        <v>11</v>
      </c>
      <c r="B15" s="2" t="s">
        <v>61</v>
      </c>
      <c r="C15" s="2" t="s">
        <v>62</v>
      </c>
      <c r="D15" s="1">
        <v>800</v>
      </c>
      <c r="E15" s="1">
        <v>200</v>
      </c>
      <c r="F15" s="1"/>
      <c r="G15" s="1"/>
      <c r="H15" s="1">
        <v>265</v>
      </c>
      <c r="I15" s="1"/>
      <c r="J15" s="1"/>
      <c r="K15" s="1"/>
      <c r="L15" s="1"/>
      <c r="M15" s="1"/>
      <c r="N15" s="3">
        <v>521050</v>
      </c>
      <c r="O15" s="3"/>
      <c r="P15" s="4">
        <f t="shared" si="0"/>
        <v>521050</v>
      </c>
    </row>
    <row r="16" spans="1:16" x14ac:dyDescent="0.25">
      <c r="A16" s="1">
        <v>12</v>
      </c>
      <c r="B16" s="2" t="s">
        <v>63</v>
      </c>
      <c r="C16" s="2" t="s">
        <v>64</v>
      </c>
      <c r="D16" s="1">
        <f>810+740</f>
        <v>1550</v>
      </c>
      <c r="E16" s="1">
        <f>100+100</f>
        <v>200</v>
      </c>
      <c r="F16" s="1">
        <f>15+10</f>
        <v>25</v>
      </c>
      <c r="G16" s="1">
        <v>5</v>
      </c>
      <c r="H16" s="1">
        <f>20+40</f>
        <v>60</v>
      </c>
      <c r="I16" s="1"/>
      <c r="J16" s="1">
        <f>5+10</f>
        <v>15</v>
      </c>
      <c r="K16" s="1"/>
      <c r="L16" s="1">
        <f>5+10</f>
        <v>15</v>
      </c>
      <c r="M16" s="1"/>
      <c r="N16" s="3">
        <f>286892+278604</f>
        <v>565496</v>
      </c>
      <c r="O16" s="3">
        <f>6499+12999</f>
        <v>19498</v>
      </c>
      <c r="P16" s="4">
        <f t="shared" si="0"/>
        <v>584994</v>
      </c>
    </row>
    <row r="17" spans="1:16" x14ac:dyDescent="0.25">
      <c r="A17" s="1">
        <v>13</v>
      </c>
      <c r="B17" s="6" t="s">
        <v>65</v>
      </c>
      <c r="C17" s="2" t="s">
        <v>66</v>
      </c>
      <c r="D17" s="1">
        <v>300</v>
      </c>
      <c r="E17" s="1">
        <v>400</v>
      </c>
      <c r="F17" s="1">
        <v>40</v>
      </c>
      <c r="G17" s="1"/>
      <c r="H17" s="1">
        <v>100</v>
      </c>
      <c r="I17" s="1"/>
      <c r="J17" s="1"/>
      <c r="K17" s="1"/>
      <c r="L17" s="1"/>
      <c r="M17" s="1"/>
      <c r="N17" s="3">
        <v>393402</v>
      </c>
      <c r="O17" s="3"/>
      <c r="P17" s="4">
        <f t="shared" si="0"/>
        <v>393402</v>
      </c>
    </row>
    <row r="18" spans="1:16" x14ac:dyDescent="0.25">
      <c r="A18" s="1">
        <v>14</v>
      </c>
      <c r="B18" s="6" t="s">
        <v>67</v>
      </c>
      <c r="C18" s="2" t="s">
        <v>68</v>
      </c>
      <c r="D18" s="1">
        <v>150</v>
      </c>
      <c r="E18" s="1">
        <v>610</v>
      </c>
      <c r="F18" s="1">
        <v>25</v>
      </c>
      <c r="G18" s="1"/>
      <c r="H18" s="1">
        <v>25</v>
      </c>
      <c r="I18" s="1"/>
      <c r="J18" s="1">
        <v>15</v>
      </c>
      <c r="K18" s="1"/>
      <c r="L18" s="1"/>
      <c r="M18" s="1"/>
      <c r="N18" s="3">
        <v>383161</v>
      </c>
      <c r="O18" s="3">
        <v>9617</v>
      </c>
      <c r="P18" s="4">
        <f t="shared" si="0"/>
        <v>392778</v>
      </c>
    </row>
    <row r="19" spans="1:16" x14ac:dyDescent="0.25">
      <c r="A19" s="1">
        <v>15</v>
      </c>
      <c r="B19" s="6" t="s">
        <v>69</v>
      </c>
      <c r="C19" s="2" t="s">
        <v>70</v>
      </c>
      <c r="D19" s="1">
        <v>550</v>
      </c>
      <c r="E19" s="1">
        <v>250</v>
      </c>
      <c r="F19" s="1">
        <v>25</v>
      </c>
      <c r="G19" s="1"/>
      <c r="H19" s="1">
        <v>75</v>
      </c>
      <c r="I19" s="1"/>
      <c r="J19" s="1"/>
      <c r="K19" s="1"/>
      <c r="L19" s="1"/>
      <c r="M19" s="1"/>
      <c r="N19" s="3">
        <v>340737</v>
      </c>
      <c r="O19" s="3"/>
      <c r="P19" s="4">
        <f t="shared" si="0"/>
        <v>340737</v>
      </c>
    </row>
    <row r="20" spans="1:16" x14ac:dyDescent="0.25">
      <c r="A20" s="1">
        <v>16</v>
      </c>
      <c r="B20" s="6" t="s">
        <v>178</v>
      </c>
      <c r="C20" s="2" t="s">
        <v>70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3"/>
      <c r="O20" s="3"/>
      <c r="P20" s="4">
        <f t="shared" si="0"/>
        <v>0</v>
      </c>
    </row>
    <row r="21" spans="1:16" x14ac:dyDescent="0.25">
      <c r="A21" s="1">
        <v>17</v>
      </c>
      <c r="B21" s="6" t="s">
        <v>164</v>
      </c>
      <c r="C21" s="2" t="s">
        <v>165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3"/>
      <c r="O21" s="3"/>
      <c r="P21" s="4">
        <f t="shared" si="0"/>
        <v>0</v>
      </c>
    </row>
    <row r="22" spans="1:16" x14ac:dyDescent="0.25">
      <c r="A22" s="1">
        <v>18</v>
      </c>
      <c r="B22" s="6" t="s">
        <v>171</v>
      </c>
      <c r="C22" s="2" t="s">
        <v>172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3"/>
      <c r="O22" s="3"/>
      <c r="P22" s="4">
        <f t="shared" si="0"/>
        <v>0</v>
      </c>
    </row>
    <row r="23" spans="1:16" x14ac:dyDescent="0.25">
      <c r="A23" s="1">
        <v>19</v>
      </c>
      <c r="B23" s="2" t="s">
        <v>71</v>
      </c>
      <c r="C23" s="2" t="s">
        <v>72</v>
      </c>
      <c r="D23" s="1">
        <f>425+550</f>
        <v>975</v>
      </c>
      <c r="E23" s="1">
        <f>200+300</f>
        <v>500</v>
      </c>
      <c r="F23" s="1">
        <f>45+20</f>
        <v>65</v>
      </c>
      <c r="G23" s="1">
        <f>20+35</f>
        <v>55</v>
      </c>
      <c r="H23" s="1">
        <f>55+30</f>
        <v>85</v>
      </c>
      <c r="I23" s="1"/>
      <c r="J23" s="1"/>
      <c r="K23" s="1"/>
      <c r="L23" s="1"/>
      <c r="M23" s="1"/>
      <c r="N23" s="3">
        <f>301301+350106</f>
        <v>651407</v>
      </c>
      <c r="O23" s="3"/>
      <c r="P23" s="4">
        <f t="shared" si="0"/>
        <v>651407</v>
      </c>
    </row>
    <row r="24" spans="1:16" x14ac:dyDescent="0.25">
      <c r="A24" s="1">
        <v>20</v>
      </c>
      <c r="B24" s="2" t="s">
        <v>73</v>
      </c>
      <c r="C24" s="2" t="s">
        <v>74</v>
      </c>
      <c r="D24" s="1">
        <f>550+600</f>
        <v>1150</v>
      </c>
      <c r="E24" s="1">
        <f>150+200</f>
        <v>350</v>
      </c>
      <c r="F24" s="1"/>
      <c r="G24" s="1"/>
      <c r="H24" s="1">
        <v>25</v>
      </c>
      <c r="I24" s="1"/>
      <c r="J24" s="1"/>
      <c r="K24" s="1"/>
      <c r="L24" s="1"/>
      <c r="M24" s="1"/>
      <c r="N24" s="3">
        <f>235248+252580</f>
        <v>487828</v>
      </c>
      <c r="O24" s="3"/>
      <c r="P24" s="4">
        <f t="shared" si="0"/>
        <v>487828</v>
      </c>
    </row>
    <row r="25" spans="1:16" x14ac:dyDescent="0.25">
      <c r="A25" s="1">
        <v>21</v>
      </c>
      <c r="B25" s="2" t="s">
        <v>75</v>
      </c>
      <c r="C25" s="2" t="s">
        <v>76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8"/>
      <c r="P25" s="4">
        <f t="shared" si="0"/>
        <v>0</v>
      </c>
    </row>
    <row r="26" spans="1:16" x14ac:dyDescent="0.25">
      <c r="A26" s="1">
        <v>22</v>
      </c>
      <c r="B26" s="2" t="s">
        <v>181</v>
      </c>
      <c r="C26" s="2" t="s">
        <v>182</v>
      </c>
      <c r="D26" s="7">
        <v>300</v>
      </c>
      <c r="E26" s="7">
        <v>250</v>
      </c>
      <c r="F26" s="7">
        <v>40</v>
      </c>
      <c r="G26" s="7">
        <v>40</v>
      </c>
      <c r="H26" s="7">
        <v>40</v>
      </c>
      <c r="I26" s="7"/>
      <c r="J26" s="7"/>
      <c r="K26" s="7"/>
      <c r="L26" s="7"/>
      <c r="M26" s="7"/>
      <c r="N26" s="8">
        <v>291507</v>
      </c>
      <c r="O26" s="8"/>
      <c r="P26" s="4">
        <f t="shared" si="0"/>
        <v>291507</v>
      </c>
    </row>
    <row r="27" spans="1:16" x14ac:dyDescent="0.25">
      <c r="A27" s="1">
        <v>23</v>
      </c>
      <c r="B27" s="2" t="s">
        <v>79</v>
      </c>
      <c r="C27" s="2" t="s">
        <v>80</v>
      </c>
      <c r="D27" s="7">
        <f>700+900</f>
        <v>1600</v>
      </c>
      <c r="E27" s="7">
        <f>220+300</f>
        <v>520</v>
      </c>
      <c r="F27" s="7"/>
      <c r="G27" s="7"/>
      <c r="H27" s="7"/>
      <c r="I27" s="7"/>
      <c r="J27" s="7">
        <f>13+13</f>
        <v>26</v>
      </c>
      <c r="K27" s="7"/>
      <c r="L27" s="7">
        <f>13+13</f>
        <v>26</v>
      </c>
      <c r="M27" s="7"/>
      <c r="N27" s="8">
        <f>287938+378869</f>
        <v>666807</v>
      </c>
      <c r="O27" s="8">
        <f>16898+16899</f>
        <v>33797</v>
      </c>
      <c r="P27" s="4">
        <f t="shared" si="0"/>
        <v>700604</v>
      </c>
    </row>
    <row r="28" spans="1:16" x14ac:dyDescent="0.25">
      <c r="A28" s="1">
        <v>24</v>
      </c>
      <c r="B28" s="2" t="s">
        <v>81</v>
      </c>
      <c r="C28" s="2" t="s">
        <v>82</v>
      </c>
      <c r="D28" s="1">
        <f>650+650+585</f>
        <v>1885</v>
      </c>
      <c r="E28" s="1">
        <f>228+228+220</f>
        <v>676</v>
      </c>
      <c r="F28" s="1"/>
      <c r="G28" s="1">
        <v>15</v>
      </c>
      <c r="H28" s="1">
        <f>25+25+40</f>
        <v>90</v>
      </c>
      <c r="I28" s="1"/>
      <c r="J28" s="1"/>
      <c r="K28" s="1"/>
      <c r="L28" s="1"/>
      <c r="M28" s="1"/>
      <c r="N28" s="3">
        <f>299919+299919+300525</f>
        <v>900363</v>
      </c>
      <c r="O28" s="3"/>
      <c r="P28" s="4">
        <f t="shared" si="0"/>
        <v>900363</v>
      </c>
    </row>
    <row r="29" spans="1:16" x14ac:dyDescent="0.25">
      <c r="A29" s="1">
        <v>25</v>
      </c>
      <c r="B29" s="2" t="s">
        <v>183</v>
      </c>
      <c r="C29" s="2" t="s">
        <v>184</v>
      </c>
      <c r="D29" s="1">
        <v>830</v>
      </c>
      <c r="E29" s="1">
        <v>100</v>
      </c>
      <c r="F29" s="1">
        <v>10</v>
      </c>
      <c r="G29" s="1"/>
      <c r="H29" s="1">
        <v>40</v>
      </c>
      <c r="I29" s="1"/>
      <c r="J29" s="1"/>
      <c r="K29" s="1"/>
      <c r="L29" s="1"/>
      <c r="M29" s="1"/>
      <c r="N29" s="3">
        <v>307290</v>
      </c>
      <c r="O29" s="3"/>
      <c r="P29" s="4">
        <f t="shared" si="0"/>
        <v>307290</v>
      </c>
    </row>
    <row r="30" spans="1:16" x14ac:dyDescent="0.25">
      <c r="A30" s="1"/>
      <c r="B30" s="28" t="s">
        <v>176</v>
      </c>
      <c r="C30" s="28" t="s">
        <v>157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3"/>
      <c r="O30" s="3"/>
      <c r="P30" s="4">
        <f t="shared" si="0"/>
        <v>0</v>
      </c>
    </row>
    <row r="31" spans="1:16" x14ac:dyDescent="0.25">
      <c r="A31" s="1">
        <v>26</v>
      </c>
      <c r="B31" s="2" t="s">
        <v>185</v>
      </c>
      <c r="C31" s="2" t="s">
        <v>157</v>
      </c>
      <c r="D31" s="1">
        <f>1000+500</f>
        <v>1500</v>
      </c>
      <c r="E31" s="1">
        <f>165</f>
        <v>165</v>
      </c>
      <c r="F31" s="1">
        <f>10+50</f>
        <v>60</v>
      </c>
      <c r="G31" s="1"/>
      <c r="H31" s="1">
        <f>200+100</f>
        <v>300</v>
      </c>
      <c r="I31" s="1"/>
      <c r="J31" s="1">
        <v>15</v>
      </c>
      <c r="K31" s="1">
        <v>10</v>
      </c>
      <c r="L31" s="1">
        <v>15</v>
      </c>
      <c r="M31" s="1">
        <v>10</v>
      </c>
      <c r="N31" s="3">
        <f>412561+323445</f>
        <v>736006</v>
      </c>
      <c r="O31" s="3">
        <f>16784+18913</f>
        <v>35697</v>
      </c>
      <c r="P31" s="4">
        <f t="shared" si="0"/>
        <v>771703</v>
      </c>
    </row>
    <row r="32" spans="1:16" x14ac:dyDescent="0.25">
      <c r="A32" s="1">
        <v>27</v>
      </c>
      <c r="B32" s="2" t="s">
        <v>186</v>
      </c>
      <c r="C32" s="2" t="s">
        <v>187</v>
      </c>
      <c r="D32" s="1">
        <v>850</v>
      </c>
      <c r="E32" s="1">
        <v>30</v>
      </c>
      <c r="F32" s="1">
        <v>25</v>
      </c>
      <c r="G32" s="1"/>
      <c r="H32" s="1">
        <v>85</v>
      </c>
      <c r="I32" s="1"/>
      <c r="J32" s="1"/>
      <c r="K32" s="1"/>
      <c r="L32" s="1"/>
      <c r="M32" s="1"/>
      <c r="N32" s="3">
        <v>320482</v>
      </c>
      <c r="O32" s="3"/>
      <c r="P32" s="4">
        <f t="shared" si="0"/>
        <v>320482</v>
      </c>
    </row>
    <row r="33" spans="1:16" x14ac:dyDescent="0.25">
      <c r="A33" s="1">
        <v>28</v>
      </c>
      <c r="B33" s="2" t="s">
        <v>162</v>
      </c>
      <c r="C33" s="2" t="s">
        <v>163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3"/>
      <c r="O33" s="3"/>
      <c r="P33" s="4">
        <f t="shared" si="0"/>
        <v>0</v>
      </c>
    </row>
    <row r="34" spans="1:16" x14ac:dyDescent="0.25">
      <c r="A34" s="1">
        <v>29</v>
      </c>
      <c r="B34" s="2" t="s">
        <v>188</v>
      </c>
      <c r="C34" s="2" t="s">
        <v>189</v>
      </c>
      <c r="D34" s="1">
        <v>380</v>
      </c>
      <c r="E34" s="1">
        <v>100</v>
      </c>
      <c r="F34" s="1">
        <v>50</v>
      </c>
      <c r="G34" s="1"/>
      <c r="H34" s="1">
        <v>100</v>
      </c>
      <c r="I34" s="1"/>
      <c r="J34" s="1">
        <v>30</v>
      </c>
      <c r="K34" s="1">
        <v>5</v>
      </c>
      <c r="L34" s="1">
        <v>30</v>
      </c>
      <c r="M34" s="1">
        <v>35</v>
      </c>
      <c r="N34" s="3">
        <v>275415</v>
      </c>
      <c r="O34" s="3">
        <v>74921</v>
      </c>
      <c r="P34" s="4">
        <f t="shared" si="0"/>
        <v>350336</v>
      </c>
    </row>
    <row r="35" spans="1:16" x14ac:dyDescent="0.25">
      <c r="A35" s="1">
        <v>30</v>
      </c>
      <c r="B35" s="2" t="s">
        <v>83</v>
      </c>
      <c r="C35" s="2" t="s">
        <v>84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3"/>
      <c r="P35" s="4">
        <f t="shared" si="0"/>
        <v>0</v>
      </c>
    </row>
    <row r="36" spans="1:16" x14ac:dyDescent="0.25">
      <c r="A36" s="1">
        <v>31</v>
      </c>
      <c r="B36" s="2" t="s">
        <v>177</v>
      </c>
      <c r="C36" s="2" t="s">
        <v>84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3"/>
      <c r="P36" s="4">
        <f t="shared" si="0"/>
        <v>0</v>
      </c>
    </row>
    <row r="37" spans="1:16" x14ac:dyDescent="0.25">
      <c r="A37" s="1">
        <v>32</v>
      </c>
      <c r="B37" s="2" t="s">
        <v>85</v>
      </c>
      <c r="C37" s="2" t="s">
        <v>86</v>
      </c>
      <c r="D37" s="1">
        <v>308</v>
      </c>
      <c r="E37" s="1">
        <v>300</v>
      </c>
      <c r="F37" s="1"/>
      <c r="G37" s="1">
        <v>55</v>
      </c>
      <c r="H37" s="1">
        <v>70</v>
      </c>
      <c r="I37" s="1"/>
      <c r="J37" s="1"/>
      <c r="K37" s="1"/>
      <c r="L37" s="1"/>
      <c r="M37" s="1"/>
      <c r="N37" s="3">
        <v>371453</v>
      </c>
      <c r="O37" s="3"/>
      <c r="P37" s="4">
        <f t="shared" si="0"/>
        <v>371453</v>
      </c>
    </row>
    <row r="38" spans="1:16" x14ac:dyDescent="0.25">
      <c r="A38" s="1">
        <v>33</v>
      </c>
      <c r="B38" s="2" t="s">
        <v>87</v>
      </c>
      <c r="C38" s="2" t="s">
        <v>88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3"/>
      <c r="O38" s="3"/>
      <c r="P38" s="4">
        <f t="shared" si="0"/>
        <v>0</v>
      </c>
    </row>
    <row r="39" spans="1:16" x14ac:dyDescent="0.25">
      <c r="A39" s="1">
        <v>34</v>
      </c>
      <c r="B39" s="2" t="s">
        <v>89</v>
      </c>
      <c r="C39" s="2" t="s">
        <v>90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3"/>
      <c r="O39" s="3"/>
      <c r="P39" s="4">
        <f t="shared" si="0"/>
        <v>0</v>
      </c>
    </row>
    <row r="40" spans="1:16" x14ac:dyDescent="0.25">
      <c r="A40" s="1">
        <v>35</v>
      </c>
      <c r="B40" s="2" t="s">
        <v>91</v>
      </c>
      <c r="C40" s="2" t="s">
        <v>92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3"/>
      <c r="O40" s="3"/>
      <c r="P40" s="4">
        <f t="shared" si="0"/>
        <v>0</v>
      </c>
    </row>
    <row r="41" spans="1:16" x14ac:dyDescent="0.25">
      <c r="A41" s="1">
        <v>36</v>
      </c>
      <c r="B41" s="2" t="s">
        <v>93</v>
      </c>
      <c r="C41" s="2" t="s">
        <v>94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3"/>
      <c r="O41" s="3"/>
      <c r="P41" s="4">
        <f t="shared" si="0"/>
        <v>0</v>
      </c>
    </row>
    <row r="42" spans="1:16" x14ac:dyDescent="0.25">
      <c r="A42" s="1">
        <v>37</v>
      </c>
      <c r="B42" s="2" t="s">
        <v>95</v>
      </c>
      <c r="C42" s="2" t="s">
        <v>96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  <c r="P42" s="4">
        <f t="shared" si="0"/>
        <v>0</v>
      </c>
    </row>
    <row r="43" spans="1:16" x14ac:dyDescent="0.25">
      <c r="A43" s="1">
        <v>38</v>
      </c>
      <c r="B43" s="2" t="s">
        <v>97</v>
      </c>
      <c r="C43" s="2" t="s">
        <v>98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  <c r="O43" s="3"/>
      <c r="P43" s="4">
        <f t="shared" si="0"/>
        <v>0</v>
      </c>
    </row>
    <row r="44" spans="1:16" x14ac:dyDescent="0.25">
      <c r="A44" s="1">
        <v>39</v>
      </c>
      <c r="B44" s="2" t="s">
        <v>99</v>
      </c>
      <c r="C44" s="2" t="s">
        <v>100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  <c r="O44" s="3"/>
      <c r="P44" s="4">
        <f t="shared" si="0"/>
        <v>0</v>
      </c>
    </row>
    <row r="45" spans="1:16" x14ac:dyDescent="0.25">
      <c r="A45" s="1">
        <v>40</v>
      </c>
      <c r="B45" s="2" t="s">
        <v>101</v>
      </c>
      <c r="C45" s="2" t="s">
        <v>102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  <c r="O45" s="3"/>
      <c r="P45" s="4">
        <f t="shared" si="0"/>
        <v>0</v>
      </c>
    </row>
    <row r="46" spans="1:16" x14ac:dyDescent="0.25">
      <c r="A46" s="1">
        <v>41</v>
      </c>
      <c r="B46" s="2" t="s">
        <v>103</v>
      </c>
      <c r="C46" s="2" t="s">
        <v>104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3"/>
      <c r="O46" s="3"/>
      <c r="P46" s="4">
        <f t="shared" si="0"/>
        <v>0</v>
      </c>
    </row>
    <row r="47" spans="1:16" x14ac:dyDescent="0.25">
      <c r="A47" s="1">
        <v>42</v>
      </c>
      <c r="B47" s="2" t="s">
        <v>167</v>
      </c>
      <c r="C47" s="2" t="s">
        <v>168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3"/>
      <c r="O47" s="3"/>
      <c r="P47" s="4">
        <f t="shared" si="0"/>
        <v>0</v>
      </c>
    </row>
    <row r="48" spans="1:16" x14ac:dyDescent="0.25">
      <c r="A48" s="1">
        <v>43</v>
      </c>
      <c r="B48" s="2" t="s">
        <v>169</v>
      </c>
      <c r="C48" s="2" t="s">
        <v>170</v>
      </c>
      <c r="D48" s="1">
        <f>100+100</f>
        <v>200</v>
      </c>
      <c r="E48" s="1">
        <v>268</v>
      </c>
      <c r="F48" s="1"/>
      <c r="G48" s="1"/>
      <c r="H48" s="1">
        <v>170</v>
      </c>
      <c r="I48" s="1">
        <v>125</v>
      </c>
      <c r="J48" s="1">
        <v>5</v>
      </c>
      <c r="K48" s="1"/>
      <c r="L48" s="1">
        <v>5</v>
      </c>
      <c r="M48" s="1">
        <v>10</v>
      </c>
      <c r="N48" s="3">
        <v>483167</v>
      </c>
      <c r="O48" s="3">
        <v>15661</v>
      </c>
      <c r="P48" s="4">
        <f t="shared" si="0"/>
        <v>498828</v>
      </c>
    </row>
    <row r="49" spans="1:16" x14ac:dyDescent="0.25">
      <c r="A49" s="1">
        <v>44</v>
      </c>
      <c r="B49" s="2" t="s">
        <v>105</v>
      </c>
      <c r="C49" s="2" t="s">
        <v>106</v>
      </c>
      <c r="D49" s="1">
        <v>1400</v>
      </c>
      <c r="E49" s="1">
        <v>200</v>
      </c>
      <c r="F49" s="1"/>
      <c r="G49" s="1"/>
      <c r="H49" s="1">
        <v>40</v>
      </c>
      <c r="I49" s="1"/>
      <c r="J49" s="1"/>
      <c r="K49" s="1"/>
      <c r="L49" s="1"/>
      <c r="M49" s="1"/>
      <c r="N49" s="3">
        <v>902588</v>
      </c>
      <c r="O49" s="3"/>
      <c r="P49" s="4">
        <f t="shared" si="0"/>
        <v>902588</v>
      </c>
    </row>
    <row r="50" spans="1:16" x14ac:dyDescent="0.25">
      <c r="A50" s="1">
        <v>45</v>
      </c>
      <c r="B50" s="2" t="s">
        <v>107</v>
      </c>
      <c r="C50" s="2" t="s">
        <v>108</v>
      </c>
      <c r="D50" s="1">
        <v>1000</v>
      </c>
      <c r="E50" s="1">
        <v>200</v>
      </c>
      <c r="F50" s="1"/>
      <c r="G50" s="1"/>
      <c r="H50" s="1"/>
      <c r="I50" s="1"/>
      <c r="J50" s="1"/>
      <c r="K50" s="1"/>
      <c r="L50" s="1"/>
      <c r="M50" s="1"/>
      <c r="N50" s="3">
        <v>346510</v>
      </c>
      <c r="O50" s="3"/>
      <c r="P50" s="4">
        <f t="shared" si="0"/>
        <v>346510</v>
      </c>
    </row>
    <row r="51" spans="1:16" x14ac:dyDescent="0.25">
      <c r="A51" s="1">
        <v>46</v>
      </c>
      <c r="B51" s="2" t="s">
        <v>109</v>
      </c>
      <c r="C51" s="2" t="s">
        <v>110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  <c r="O51" s="3"/>
      <c r="P51" s="4">
        <f t="shared" si="0"/>
        <v>0</v>
      </c>
    </row>
    <row r="52" spans="1:16" x14ac:dyDescent="0.25">
      <c r="A52" s="1"/>
      <c r="B52" s="28" t="s">
        <v>173</v>
      </c>
      <c r="C52" s="28" t="s">
        <v>174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3"/>
      <c r="O52" s="3"/>
      <c r="P52" s="4">
        <f t="shared" si="0"/>
        <v>0</v>
      </c>
    </row>
    <row r="53" spans="1:16" x14ac:dyDescent="0.25">
      <c r="A53" s="1">
        <v>47</v>
      </c>
      <c r="B53" s="2" t="s">
        <v>179</v>
      </c>
      <c r="C53" s="2" t="s">
        <v>174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3"/>
      <c r="O53" s="3"/>
      <c r="P53" s="4">
        <f t="shared" si="0"/>
        <v>0</v>
      </c>
    </row>
    <row r="54" spans="1:16" x14ac:dyDescent="0.25">
      <c r="A54" s="1">
        <v>48</v>
      </c>
      <c r="B54" s="5" t="s">
        <v>111</v>
      </c>
      <c r="C54" s="2" t="s">
        <v>112</v>
      </c>
      <c r="D54" s="1">
        <v>400</v>
      </c>
      <c r="E54" s="1">
        <v>100</v>
      </c>
      <c r="F54" s="1">
        <v>10</v>
      </c>
      <c r="G54" s="1">
        <v>20</v>
      </c>
      <c r="H54" s="1">
        <v>35</v>
      </c>
      <c r="I54" s="1"/>
      <c r="J54" s="1"/>
      <c r="K54" s="1"/>
      <c r="L54" s="1"/>
      <c r="M54" s="1"/>
      <c r="N54" s="3">
        <v>200272</v>
      </c>
      <c r="O54" s="3"/>
      <c r="P54" s="4">
        <f t="shared" si="0"/>
        <v>200272</v>
      </c>
    </row>
    <row r="55" spans="1:16" x14ac:dyDescent="0.25">
      <c r="A55" s="1">
        <v>49</v>
      </c>
      <c r="B55" s="2" t="s">
        <v>113</v>
      </c>
      <c r="C55" s="2" t="s">
        <v>114</v>
      </c>
      <c r="D55" s="1">
        <v>5</v>
      </c>
      <c r="E55" s="1">
        <v>10</v>
      </c>
      <c r="F55" s="1">
        <v>10</v>
      </c>
      <c r="G55" s="1">
        <v>25</v>
      </c>
      <c r="H55" s="1">
        <v>65</v>
      </c>
      <c r="I55" s="1">
        <v>25</v>
      </c>
      <c r="J55" s="1"/>
      <c r="K55" s="1"/>
      <c r="L55" s="1"/>
      <c r="M55" s="1"/>
      <c r="N55" s="3">
        <v>100808</v>
      </c>
      <c r="O55" s="3"/>
      <c r="P55" s="4">
        <f t="shared" si="0"/>
        <v>100808</v>
      </c>
    </row>
    <row r="56" spans="1:16" x14ac:dyDescent="0.25">
      <c r="A56" s="1">
        <v>50</v>
      </c>
      <c r="B56" s="2" t="s">
        <v>115</v>
      </c>
      <c r="C56" s="2" t="s">
        <v>116</v>
      </c>
      <c r="D56" s="1">
        <v>40</v>
      </c>
      <c r="E56" s="1">
        <v>20</v>
      </c>
      <c r="F56" s="1"/>
      <c r="G56" s="1"/>
      <c r="H56" s="1">
        <v>150</v>
      </c>
      <c r="I56" s="1">
        <v>60</v>
      </c>
      <c r="J56" s="1"/>
      <c r="K56" s="1"/>
      <c r="L56" s="1"/>
      <c r="M56" s="1"/>
      <c r="N56" s="3">
        <v>187208</v>
      </c>
      <c r="O56" s="3"/>
      <c r="P56" s="4">
        <f t="shared" si="0"/>
        <v>187208</v>
      </c>
    </row>
    <row r="57" spans="1:16" x14ac:dyDescent="0.25">
      <c r="A57" s="1">
        <v>51</v>
      </c>
      <c r="B57" s="2" t="s">
        <v>158</v>
      </c>
      <c r="C57" s="2" t="s">
        <v>118</v>
      </c>
      <c r="D57" s="1">
        <v>150</v>
      </c>
      <c r="E57" s="1">
        <v>220</v>
      </c>
      <c r="F57" s="1"/>
      <c r="G57" s="1"/>
      <c r="H57" s="1"/>
      <c r="I57" s="1"/>
      <c r="J57" s="1"/>
      <c r="K57" s="1"/>
      <c r="L57" s="1"/>
      <c r="M57" s="1"/>
      <c r="N57" s="3">
        <v>149061</v>
      </c>
      <c r="O57" s="3"/>
      <c r="P57" s="4">
        <f t="shared" si="0"/>
        <v>149061</v>
      </c>
    </row>
    <row r="58" spans="1:16" x14ac:dyDescent="0.25">
      <c r="A58" s="1">
        <v>52</v>
      </c>
      <c r="B58" s="2" t="s">
        <v>119</v>
      </c>
      <c r="C58" s="2" t="s">
        <v>120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  <c r="O58" s="3"/>
      <c r="P58" s="4">
        <f t="shared" si="0"/>
        <v>0</v>
      </c>
    </row>
    <row r="59" spans="1:16" x14ac:dyDescent="0.25">
      <c r="A59" s="1">
        <v>53</v>
      </c>
      <c r="B59" s="2" t="s">
        <v>121</v>
      </c>
      <c r="C59" s="2" t="s">
        <v>122</v>
      </c>
      <c r="D59" s="1">
        <f>550+700+790</f>
        <v>2040</v>
      </c>
      <c r="E59" s="1">
        <f>100+100+70</f>
        <v>270</v>
      </c>
      <c r="F59" s="1">
        <f>15+5+15</f>
        <v>35</v>
      </c>
      <c r="G59" s="1">
        <f>5</f>
        <v>5</v>
      </c>
      <c r="H59" s="1">
        <f>100+70+60</f>
        <v>230</v>
      </c>
      <c r="I59" s="1"/>
      <c r="J59" s="1">
        <f>5+2+2</f>
        <v>9</v>
      </c>
      <c r="K59" s="1">
        <f>5+2</f>
        <v>7</v>
      </c>
      <c r="L59" s="1">
        <f>5+2</f>
        <v>7</v>
      </c>
      <c r="M59" s="1">
        <f>5+2+2</f>
        <v>9</v>
      </c>
      <c r="N59" s="3">
        <f>287043+289024+296673</f>
        <v>872740</v>
      </c>
      <c r="O59" s="3">
        <f>15151+6060+3031</f>
        <v>24242</v>
      </c>
      <c r="P59" s="4">
        <f t="shared" si="0"/>
        <v>896982</v>
      </c>
    </row>
    <row r="60" spans="1:16" x14ac:dyDescent="0.25">
      <c r="A60" s="1">
        <v>54</v>
      </c>
      <c r="B60" s="5" t="s">
        <v>123</v>
      </c>
      <c r="C60" s="2" t="s">
        <v>124</v>
      </c>
      <c r="D60" s="1">
        <v>350</v>
      </c>
      <c r="E60" s="1">
        <v>12</v>
      </c>
      <c r="F60" s="1"/>
      <c r="G60" s="1"/>
      <c r="H60" s="1">
        <v>65</v>
      </c>
      <c r="I60" s="1"/>
      <c r="J60" s="1"/>
      <c r="K60" s="1"/>
      <c r="L60" s="1"/>
      <c r="M60" s="1"/>
      <c r="N60" s="3">
        <v>147905</v>
      </c>
      <c r="O60" s="3"/>
      <c r="P60" s="4">
        <f t="shared" si="0"/>
        <v>147905</v>
      </c>
    </row>
    <row r="61" spans="1:16" x14ac:dyDescent="0.25">
      <c r="A61" s="1">
        <v>55</v>
      </c>
      <c r="B61" s="5" t="s">
        <v>125</v>
      </c>
      <c r="C61" s="2" t="s">
        <v>126</v>
      </c>
      <c r="D61" s="1">
        <v>185</v>
      </c>
      <c r="E61" s="1">
        <v>120</v>
      </c>
      <c r="F61" s="1"/>
      <c r="G61" s="1"/>
      <c r="H61" s="1">
        <v>30</v>
      </c>
      <c r="I61" s="1"/>
      <c r="J61" s="1"/>
      <c r="K61" s="1"/>
      <c r="L61" s="1"/>
      <c r="M61" s="1"/>
      <c r="N61" s="3">
        <v>132035</v>
      </c>
      <c r="O61" s="3"/>
      <c r="P61" s="4">
        <f t="shared" si="0"/>
        <v>132035</v>
      </c>
    </row>
    <row r="62" spans="1:16" x14ac:dyDescent="0.25">
      <c r="A62" s="1">
        <v>56</v>
      </c>
      <c r="B62" s="2" t="s">
        <v>127</v>
      </c>
      <c r="C62" s="2" t="s">
        <v>128</v>
      </c>
      <c r="D62" s="1">
        <v>245</v>
      </c>
      <c r="E62" s="1">
        <v>175</v>
      </c>
      <c r="F62" s="1"/>
      <c r="G62" s="1"/>
      <c r="H62" s="1">
        <v>5</v>
      </c>
      <c r="I62" s="1"/>
      <c r="J62" s="1"/>
      <c r="K62" s="1"/>
      <c r="L62" s="1"/>
      <c r="M62" s="1"/>
      <c r="N62" s="3">
        <v>124938</v>
      </c>
      <c r="O62" s="3"/>
      <c r="P62" s="4">
        <f t="shared" si="0"/>
        <v>124938</v>
      </c>
    </row>
    <row r="63" spans="1:16" x14ac:dyDescent="0.25">
      <c r="A63" s="1">
        <v>57</v>
      </c>
      <c r="B63" s="5" t="s">
        <v>131</v>
      </c>
      <c r="C63" s="5" t="s">
        <v>132</v>
      </c>
      <c r="D63" s="1">
        <v>100</v>
      </c>
      <c r="E63" s="1"/>
      <c r="F63" s="1"/>
      <c r="G63" s="1"/>
      <c r="H63" s="1">
        <v>10</v>
      </c>
      <c r="I63" s="1"/>
      <c r="J63" s="1"/>
      <c r="K63" s="1"/>
      <c r="L63" s="1"/>
      <c r="M63" s="1"/>
      <c r="N63" s="3">
        <v>25059</v>
      </c>
      <c r="O63" s="3"/>
      <c r="P63" s="4">
        <f t="shared" si="0"/>
        <v>25059</v>
      </c>
    </row>
    <row r="64" spans="1:16" x14ac:dyDescent="0.25">
      <c r="A64" s="1">
        <v>58</v>
      </c>
      <c r="B64" s="2" t="s">
        <v>133</v>
      </c>
      <c r="C64" s="2" t="s">
        <v>132</v>
      </c>
      <c r="D64" s="1">
        <f>230+300</f>
        <v>530</v>
      </c>
      <c r="E64" s="1">
        <v>5</v>
      </c>
      <c r="F64" s="1"/>
      <c r="G64" s="1">
        <v>10</v>
      </c>
      <c r="H64" s="1">
        <v>10</v>
      </c>
      <c r="I64" s="1"/>
      <c r="J64" s="1"/>
      <c r="K64" s="1"/>
      <c r="L64" s="1"/>
      <c r="M64" s="1"/>
      <c r="N64" s="3">
        <f>49470+56317</f>
        <v>105787</v>
      </c>
      <c r="O64" s="3"/>
      <c r="P64" s="4">
        <f t="shared" si="0"/>
        <v>105787</v>
      </c>
    </row>
    <row r="65" spans="1:16" x14ac:dyDescent="0.25">
      <c r="A65" s="1">
        <v>59</v>
      </c>
      <c r="B65" s="9" t="s">
        <v>134</v>
      </c>
      <c r="C65" s="2" t="s">
        <v>135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3"/>
      <c r="O65" s="3"/>
      <c r="P65" s="4">
        <f t="shared" si="0"/>
        <v>0</v>
      </c>
    </row>
    <row r="66" spans="1:16" x14ac:dyDescent="0.25">
      <c r="A66" s="1">
        <v>60</v>
      </c>
      <c r="B66" s="9" t="s">
        <v>138</v>
      </c>
      <c r="C66" s="2" t="s">
        <v>139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3"/>
      <c r="O66" s="3"/>
      <c r="P66" s="4">
        <f t="shared" si="0"/>
        <v>0</v>
      </c>
    </row>
    <row r="67" spans="1:16" x14ac:dyDescent="0.25">
      <c r="A67" s="1">
        <v>61</v>
      </c>
      <c r="B67" s="9" t="s">
        <v>142</v>
      </c>
      <c r="C67" s="2" t="s">
        <v>143</v>
      </c>
      <c r="D67" s="1">
        <v>120</v>
      </c>
      <c r="E67" s="1">
        <v>60</v>
      </c>
      <c r="F67" s="1">
        <v>10</v>
      </c>
      <c r="G67" s="1">
        <v>5</v>
      </c>
      <c r="H67" s="1">
        <v>30</v>
      </c>
      <c r="I67" s="1"/>
      <c r="J67" s="1"/>
      <c r="K67" s="1"/>
      <c r="L67" s="1"/>
      <c r="M67" s="1"/>
      <c r="N67" s="3">
        <v>102668</v>
      </c>
      <c r="O67" s="3"/>
      <c r="P67" s="4">
        <f t="shared" si="0"/>
        <v>102668</v>
      </c>
    </row>
    <row r="68" spans="1:16" x14ac:dyDescent="0.25">
      <c r="A68" s="1">
        <v>62</v>
      </c>
      <c r="B68" s="5" t="s">
        <v>146</v>
      </c>
      <c r="C68" s="2" t="s">
        <v>147</v>
      </c>
      <c r="D68" s="1">
        <f>40+10</f>
        <v>50</v>
      </c>
      <c r="E68" s="1">
        <f>20+20</f>
        <v>40</v>
      </c>
      <c r="F68" s="1"/>
      <c r="G68" s="1"/>
      <c r="H68" s="1">
        <f>12+20</f>
        <v>32</v>
      </c>
      <c r="I68" s="1"/>
      <c r="J68" s="1">
        <f>3+4</f>
        <v>7</v>
      </c>
      <c r="K68" s="1">
        <v>2</v>
      </c>
      <c r="L68" s="1">
        <f>2+3</f>
        <v>5</v>
      </c>
      <c r="M68" s="1">
        <f>2+1</f>
        <v>3</v>
      </c>
      <c r="N68" s="3">
        <f>32014+31054</f>
        <v>63068</v>
      </c>
      <c r="O68" s="3">
        <f>7026+5616</f>
        <v>12642</v>
      </c>
      <c r="P68" s="4">
        <f t="shared" ref="P68:P69" si="1">N68+O68</f>
        <v>75710</v>
      </c>
    </row>
    <row r="69" spans="1:16" ht="15.75" thickBot="1" x14ac:dyDescent="0.3">
      <c r="A69" s="1">
        <v>63</v>
      </c>
      <c r="B69" s="10" t="s">
        <v>148</v>
      </c>
      <c r="C69" s="11" t="s">
        <v>149</v>
      </c>
      <c r="D69" s="12">
        <f>132+145</f>
        <v>277</v>
      </c>
      <c r="E69" s="12">
        <f>5</f>
        <v>5</v>
      </c>
      <c r="F69" s="12"/>
      <c r="G69" s="12">
        <v>3</v>
      </c>
      <c r="H69" s="12">
        <f>10+10</f>
        <v>20</v>
      </c>
      <c r="I69" s="12"/>
      <c r="J69" s="12"/>
      <c r="K69" s="12"/>
      <c r="L69" s="12"/>
      <c r="M69" s="12"/>
      <c r="N69" s="13">
        <f>46037+50318</f>
        <v>96355</v>
      </c>
      <c r="O69" s="13"/>
      <c r="P69" s="4">
        <f t="shared" si="1"/>
        <v>96355</v>
      </c>
    </row>
    <row r="70" spans="1:16" ht="15.75" thickBot="1" x14ac:dyDescent="0.3">
      <c r="A70" s="39" t="s">
        <v>150</v>
      </c>
      <c r="B70" s="40"/>
      <c r="C70" s="24"/>
      <c r="D70" s="25">
        <f t="shared" ref="D70:P70" si="2">SUM(D5:D69)</f>
        <v>42510</v>
      </c>
      <c r="E70" s="25">
        <f t="shared" si="2"/>
        <v>10531</v>
      </c>
      <c r="F70" s="25">
        <f t="shared" si="2"/>
        <v>496</v>
      </c>
      <c r="G70" s="25">
        <f t="shared" si="2"/>
        <v>318</v>
      </c>
      <c r="H70" s="25">
        <f t="shared" si="2"/>
        <v>3992</v>
      </c>
      <c r="I70" s="25">
        <f t="shared" si="2"/>
        <v>210</v>
      </c>
      <c r="J70" s="25">
        <f t="shared" si="2"/>
        <v>192</v>
      </c>
      <c r="K70" s="25">
        <f t="shared" si="2"/>
        <v>44</v>
      </c>
      <c r="L70" s="25">
        <f t="shared" si="2"/>
        <v>153</v>
      </c>
      <c r="M70" s="25">
        <f t="shared" si="2"/>
        <v>82</v>
      </c>
      <c r="N70" s="26">
        <f t="shared" si="2"/>
        <v>20523454</v>
      </c>
      <c r="O70" s="26">
        <f t="shared" si="2"/>
        <v>334350</v>
      </c>
      <c r="P70" s="26">
        <f t="shared" si="2"/>
        <v>20857804</v>
      </c>
    </row>
  </sheetData>
  <mergeCells count="3">
    <mergeCell ref="A1:P1"/>
    <mergeCell ref="A2:P2"/>
    <mergeCell ref="A70:B70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A3DE-981C-4A82-9C42-29A047346790}">
  <dimension ref="A1:R78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23" sqref="H23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15.5703125" bestFit="1" customWidth="1"/>
    <col min="4" max="4" width="8.42578125" style="14" customWidth="1"/>
    <col min="5" max="5" width="9" style="14" customWidth="1"/>
    <col min="6" max="6" width="8.42578125" style="14" customWidth="1"/>
    <col min="7" max="9" width="8.7109375" style="14" customWidth="1"/>
    <col min="10" max="11" width="9" style="14" customWidth="1"/>
    <col min="12" max="12" width="8.7109375" style="14" customWidth="1"/>
    <col min="13" max="13" width="8.28515625" style="14" customWidth="1"/>
    <col min="14" max="14" width="14.140625" style="14" customWidth="1"/>
    <col min="15" max="15" width="12.5703125" style="14" customWidth="1"/>
    <col min="16" max="16" width="14.140625" bestFit="1" customWidth="1"/>
  </cols>
  <sheetData>
    <row r="1" spans="1:16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9.5" thickBot="1" x14ac:dyDescent="0.35">
      <c r="A2" s="38" t="s">
        <v>190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63.75" thickBot="1" x14ac:dyDescent="0.3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25</v>
      </c>
      <c r="O3" s="18" t="s">
        <v>26</v>
      </c>
      <c r="P3" s="19" t="s">
        <v>28</v>
      </c>
    </row>
    <row r="4" spans="1:16" ht="15.75" thickBot="1" x14ac:dyDescent="0.3">
      <c r="A4" s="20"/>
      <c r="B4" s="21"/>
      <c r="C4" s="21"/>
      <c r="D4" s="22" t="s">
        <v>29</v>
      </c>
      <c r="E4" s="22" t="s">
        <v>30</v>
      </c>
      <c r="F4" s="22" t="s">
        <v>32</v>
      </c>
      <c r="G4" s="22" t="s">
        <v>33</v>
      </c>
      <c r="H4" s="22" t="s">
        <v>34</v>
      </c>
      <c r="I4" s="22" t="s">
        <v>35</v>
      </c>
      <c r="J4" s="22" t="s">
        <v>36</v>
      </c>
      <c r="K4" s="22" t="s">
        <v>29</v>
      </c>
      <c r="L4" s="22" t="s">
        <v>36</v>
      </c>
      <c r="M4" s="22" t="s">
        <v>29</v>
      </c>
      <c r="N4" s="22"/>
      <c r="O4" s="22"/>
      <c r="P4" s="23"/>
    </row>
    <row r="5" spans="1:16" x14ac:dyDescent="0.25">
      <c r="A5" s="1">
        <v>1</v>
      </c>
      <c r="B5" s="2" t="s">
        <v>39</v>
      </c>
      <c r="C5" s="2" t="s">
        <v>40</v>
      </c>
      <c r="D5" s="1">
        <f>1150+1100+952+1075+1041</f>
        <v>5318</v>
      </c>
      <c r="E5" s="1">
        <f>200+150+260+150+175</f>
        <v>935</v>
      </c>
      <c r="F5" s="1">
        <f>10</f>
        <v>10</v>
      </c>
      <c r="G5" s="1"/>
      <c r="H5" s="1">
        <f>10+20+75</f>
        <v>105</v>
      </c>
      <c r="I5" s="1"/>
      <c r="J5" s="1">
        <f>15+20+5</f>
        <v>40</v>
      </c>
      <c r="K5" s="1">
        <f>10+10+5+5</f>
        <v>30</v>
      </c>
      <c r="L5" s="1">
        <f>20</f>
        <v>20</v>
      </c>
      <c r="M5" s="1">
        <f>10+10+5</f>
        <v>25</v>
      </c>
      <c r="N5" s="3">
        <f>399682+380696+382257+365725+425483</f>
        <v>1953843</v>
      </c>
      <c r="O5" s="3">
        <f>27053+17304+34649+7565</f>
        <v>86571</v>
      </c>
      <c r="P5" s="4">
        <f>N5+O5</f>
        <v>2040414</v>
      </c>
    </row>
    <row r="6" spans="1:16" x14ac:dyDescent="0.25">
      <c r="A6" s="1">
        <v>2</v>
      </c>
      <c r="B6" s="2" t="s">
        <v>41</v>
      </c>
      <c r="C6" s="2" t="s">
        <v>42</v>
      </c>
      <c r="D6" s="1">
        <f>625+1000+1180+1160+1080+835+1025+1540+850+975+850+1100+1150</f>
        <v>13370</v>
      </c>
      <c r="E6" s="1">
        <f>200+250+150+50+40+60+40+200+200+150+150</f>
        <v>1490</v>
      </c>
      <c r="F6" s="1"/>
      <c r="G6" s="1"/>
      <c r="H6" s="1">
        <f>50+25+30+100+10+60+15+150+20+120+100</f>
        <v>680</v>
      </c>
      <c r="I6" s="1"/>
      <c r="J6" s="1">
        <v>5</v>
      </c>
      <c r="K6" s="1"/>
      <c r="L6" s="1"/>
      <c r="M6" s="1"/>
      <c r="N6" s="3">
        <f>300019+399414+398438+400427+301145+299408+299805+399916+453128+374204+401455+449240+298639</f>
        <v>4775238</v>
      </c>
      <c r="O6" s="3">
        <v>3250</v>
      </c>
      <c r="P6" s="4">
        <f t="shared" ref="P6:P77" si="0">N6+O6</f>
        <v>4778488</v>
      </c>
    </row>
    <row r="7" spans="1:16" x14ac:dyDescent="0.25">
      <c r="A7" s="1">
        <v>3</v>
      </c>
      <c r="B7" s="5" t="s">
        <v>43</v>
      </c>
      <c r="C7" s="2" t="s">
        <v>44</v>
      </c>
      <c r="D7" s="1">
        <f>820+890</f>
        <v>1710</v>
      </c>
      <c r="E7" s="1">
        <f>120+100</f>
        <v>220</v>
      </c>
      <c r="F7" s="1"/>
      <c r="G7" s="1"/>
      <c r="H7" s="1">
        <f>40+50</f>
        <v>90</v>
      </c>
      <c r="I7" s="1"/>
      <c r="J7" s="1">
        <v>5</v>
      </c>
      <c r="K7" s="1"/>
      <c r="L7" s="1">
        <v>5</v>
      </c>
      <c r="M7" s="1"/>
      <c r="N7" s="3">
        <f>300601+325898</f>
        <v>626499</v>
      </c>
      <c r="O7" s="3">
        <v>6499</v>
      </c>
      <c r="P7" s="4">
        <f t="shared" si="0"/>
        <v>632998</v>
      </c>
    </row>
    <row r="8" spans="1:16" x14ac:dyDescent="0.25">
      <c r="A8" s="1">
        <v>4</v>
      </c>
      <c r="B8" s="2" t="s">
        <v>45</v>
      </c>
      <c r="C8" s="2" t="s">
        <v>46</v>
      </c>
      <c r="D8" s="1">
        <v>300</v>
      </c>
      <c r="E8" s="1">
        <v>150</v>
      </c>
      <c r="F8" s="1">
        <v>6</v>
      </c>
      <c r="G8" s="1">
        <v>40</v>
      </c>
      <c r="H8" s="1">
        <v>150</v>
      </c>
      <c r="I8" s="1"/>
      <c r="J8" s="1"/>
      <c r="K8" s="1"/>
      <c r="L8" s="1"/>
      <c r="M8" s="1"/>
      <c r="N8" s="3">
        <v>313758</v>
      </c>
      <c r="O8" s="3"/>
      <c r="P8" s="4">
        <f t="shared" si="0"/>
        <v>313758</v>
      </c>
    </row>
    <row r="9" spans="1:16" x14ac:dyDescent="0.25">
      <c r="A9" s="1">
        <v>5</v>
      </c>
      <c r="B9" s="2" t="s">
        <v>47</v>
      </c>
      <c r="C9" s="2" t="s">
        <v>48</v>
      </c>
      <c r="D9" s="1">
        <v>270</v>
      </c>
      <c r="E9" s="1">
        <v>30</v>
      </c>
      <c r="F9" s="1"/>
      <c r="G9" s="1"/>
      <c r="H9" s="1">
        <v>250</v>
      </c>
      <c r="I9" s="1"/>
      <c r="J9" s="1"/>
      <c r="K9" s="1"/>
      <c r="L9" s="1"/>
      <c r="M9" s="1"/>
      <c r="N9" s="3">
        <v>299896</v>
      </c>
      <c r="O9" s="3"/>
      <c r="P9" s="4">
        <f t="shared" si="0"/>
        <v>299896</v>
      </c>
    </row>
    <row r="10" spans="1:16" x14ac:dyDescent="0.25">
      <c r="A10" s="1">
        <v>6</v>
      </c>
      <c r="B10" s="2" t="s">
        <v>199</v>
      </c>
      <c r="C10" s="2" t="s">
        <v>200</v>
      </c>
      <c r="D10" s="1">
        <f>625+50</f>
        <v>675</v>
      </c>
      <c r="E10" s="1">
        <v>150</v>
      </c>
      <c r="F10" s="1"/>
      <c r="G10" s="1"/>
      <c r="H10" s="1">
        <v>70</v>
      </c>
      <c r="I10" s="1"/>
      <c r="J10" s="1"/>
      <c r="K10" s="1"/>
      <c r="L10" s="1"/>
      <c r="M10" s="1"/>
      <c r="N10" s="3">
        <f>300186+12984</f>
        <v>313170</v>
      </c>
      <c r="O10" s="3"/>
      <c r="P10" s="4">
        <f t="shared" si="0"/>
        <v>313170</v>
      </c>
    </row>
    <row r="11" spans="1:16" x14ac:dyDescent="0.25">
      <c r="A11" s="1">
        <v>7</v>
      </c>
      <c r="B11" s="2" t="s">
        <v>49</v>
      </c>
      <c r="C11" s="2" t="s">
        <v>50</v>
      </c>
      <c r="D11" s="1">
        <v>1215</v>
      </c>
      <c r="E11" s="1"/>
      <c r="F11" s="1"/>
      <c r="G11" s="1"/>
      <c r="H11" s="1">
        <v>80</v>
      </c>
      <c r="I11" s="1"/>
      <c r="J11" s="1">
        <v>5</v>
      </c>
      <c r="K11" s="1">
        <v>5</v>
      </c>
      <c r="L11" s="1"/>
      <c r="M11" s="1"/>
      <c r="N11" s="3">
        <v>384063</v>
      </c>
      <c r="O11" s="3">
        <v>7575</v>
      </c>
      <c r="P11" s="4">
        <f t="shared" si="0"/>
        <v>391638</v>
      </c>
    </row>
    <row r="12" spans="1:16" x14ac:dyDescent="0.25">
      <c r="A12" s="1">
        <v>8</v>
      </c>
      <c r="B12" s="2" t="s">
        <v>195</v>
      </c>
      <c r="C12" s="2" t="s">
        <v>196</v>
      </c>
      <c r="D12" s="1">
        <f>600</f>
        <v>600</v>
      </c>
      <c r="E12" s="1">
        <f>150</f>
        <v>150</v>
      </c>
      <c r="F12" s="1"/>
      <c r="G12" s="1"/>
      <c r="H12" s="1">
        <f>100</f>
        <v>100</v>
      </c>
      <c r="I12" s="1"/>
      <c r="J12" s="1"/>
      <c r="K12" s="1"/>
      <c r="L12" s="1"/>
      <c r="M12" s="1"/>
      <c r="N12" s="3">
        <f>319397</f>
        <v>319397</v>
      </c>
      <c r="O12" s="3"/>
      <c r="P12" s="4">
        <f t="shared" si="0"/>
        <v>319397</v>
      </c>
    </row>
    <row r="13" spans="1:16" x14ac:dyDescent="0.25">
      <c r="A13" s="1">
        <v>9</v>
      </c>
      <c r="B13" s="6" t="s">
        <v>53</v>
      </c>
      <c r="C13" s="2" t="s">
        <v>54</v>
      </c>
      <c r="D13" s="1">
        <v>630</v>
      </c>
      <c r="E13" s="1">
        <v>300</v>
      </c>
      <c r="F13" s="1"/>
      <c r="G13" s="1"/>
      <c r="H13" s="1">
        <v>25</v>
      </c>
      <c r="I13" s="1"/>
      <c r="J13" s="1"/>
      <c r="K13" s="1"/>
      <c r="L13" s="1"/>
      <c r="M13" s="1"/>
      <c r="N13" s="3">
        <v>340834</v>
      </c>
      <c r="O13" s="3"/>
      <c r="P13" s="4">
        <f t="shared" si="0"/>
        <v>340834</v>
      </c>
    </row>
    <row r="14" spans="1:16" x14ac:dyDescent="0.25">
      <c r="A14" s="1">
        <v>10</v>
      </c>
      <c r="B14" s="6" t="s">
        <v>203</v>
      </c>
      <c r="C14" s="2" t="s">
        <v>204</v>
      </c>
      <c r="D14" s="1">
        <v>400</v>
      </c>
      <c r="E14" s="1">
        <v>230</v>
      </c>
      <c r="F14" s="1">
        <v>10</v>
      </c>
      <c r="G14" s="1">
        <v>10</v>
      </c>
      <c r="H14" s="1">
        <v>70</v>
      </c>
      <c r="I14" s="1"/>
      <c r="J14" s="1">
        <v>5</v>
      </c>
      <c r="K14" s="1">
        <v>8</v>
      </c>
      <c r="L14" s="1"/>
      <c r="M14" s="1">
        <v>8</v>
      </c>
      <c r="N14" s="3">
        <v>298021</v>
      </c>
      <c r="O14" s="3">
        <v>17092</v>
      </c>
      <c r="P14" s="4">
        <f t="shared" si="0"/>
        <v>315113</v>
      </c>
    </row>
    <row r="15" spans="1:16" x14ac:dyDescent="0.25">
      <c r="A15" s="1">
        <v>11</v>
      </c>
      <c r="B15" s="2" t="s">
        <v>55</v>
      </c>
      <c r="C15" s="2" t="s">
        <v>56</v>
      </c>
      <c r="D15" s="1">
        <v>600</v>
      </c>
      <c r="E15" s="1">
        <v>170</v>
      </c>
      <c r="F15" s="1">
        <v>10</v>
      </c>
      <c r="G15" s="1"/>
      <c r="H15" s="1">
        <v>30</v>
      </c>
      <c r="I15" s="1"/>
      <c r="J15" s="1">
        <v>10</v>
      </c>
      <c r="K15" s="1">
        <v>5</v>
      </c>
      <c r="L15" s="1"/>
      <c r="M15" s="1">
        <v>5</v>
      </c>
      <c r="N15" s="3">
        <v>278465</v>
      </c>
      <c r="O15" s="3">
        <v>15151</v>
      </c>
      <c r="P15" s="4">
        <f t="shared" si="0"/>
        <v>293616</v>
      </c>
    </row>
    <row r="16" spans="1:16" x14ac:dyDescent="0.25">
      <c r="A16" s="1">
        <v>12</v>
      </c>
      <c r="B16" s="2" t="s">
        <v>160</v>
      </c>
      <c r="C16" s="2" t="s">
        <v>161</v>
      </c>
      <c r="D16" s="1">
        <v>800</v>
      </c>
      <c r="E16" s="1">
        <v>200</v>
      </c>
      <c r="F16" s="1"/>
      <c r="G16" s="1"/>
      <c r="H16" s="1">
        <v>100</v>
      </c>
      <c r="I16" s="1"/>
      <c r="J16" s="1"/>
      <c r="K16" s="1">
        <v>5</v>
      </c>
      <c r="L16" s="1"/>
      <c r="M16" s="1">
        <v>5</v>
      </c>
      <c r="N16" s="3">
        <v>397303</v>
      </c>
      <c r="O16" s="3">
        <v>8652</v>
      </c>
      <c r="P16" s="4">
        <f t="shared" si="0"/>
        <v>405955</v>
      </c>
    </row>
    <row r="17" spans="1:16" x14ac:dyDescent="0.25">
      <c r="A17" s="1">
        <v>13</v>
      </c>
      <c r="B17" s="2" t="s">
        <v>59</v>
      </c>
      <c r="C17" s="2" t="s">
        <v>60</v>
      </c>
      <c r="D17" s="1">
        <v>500</v>
      </c>
      <c r="E17" s="1">
        <v>120</v>
      </c>
      <c r="F17" s="1">
        <v>40</v>
      </c>
      <c r="G17" s="1"/>
      <c r="H17" s="1">
        <v>70</v>
      </c>
      <c r="I17" s="1"/>
      <c r="J17" s="1"/>
      <c r="K17" s="1">
        <v>5</v>
      </c>
      <c r="L17" s="1">
        <v>5</v>
      </c>
      <c r="M17" s="1">
        <v>5</v>
      </c>
      <c r="N17" s="3">
        <v>286768</v>
      </c>
      <c r="O17" s="3">
        <v>11902</v>
      </c>
      <c r="P17" s="4">
        <f t="shared" si="0"/>
        <v>298670</v>
      </c>
    </row>
    <row r="18" spans="1:16" x14ac:dyDescent="0.25">
      <c r="A18" s="1">
        <v>14</v>
      </c>
      <c r="B18" s="2" t="s">
        <v>61</v>
      </c>
      <c r="C18" s="2" t="s">
        <v>62</v>
      </c>
      <c r="D18" s="1">
        <f>1000+960</f>
        <v>1960</v>
      </c>
      <c r="E18" s="1">
        <f>215+150</f>
        <v>365</v>
      </c>
      <c r="F18" s="1">
        <f>30</f>
        <v>30</v>
      </c>
      <c r="G18" s="1"/>
      <c r="H18" s="1">
        <f>150+30</f>
        <v>180</v>
      </c>
      <c r="I18" s="1"/>
      <c r="J18" s="1"/>
      <c r="K18" s="1"/>
      <c r="L18" s="1"/>
      <c r="M18" s="1"/>
      <c r="N18" s="3">
        <f>499871+378877</f>
        <v>878748</v>
      </c>
      <c r="O18" s="3"/>
      <c r="P18" s="4">
        <f t="shared" si="0"/>
        <v>878748</v>
      </c>
    </row>
    <row r="19" spans="1:16" x14ac:dyDescent="0.25">
      <c r="A19" s="1">
        <v>15</v>
      </c>
      <c r="B19" s="2" t="s">
        <v>63</v>
      </c>
      <c r="C19" s="2" t="s">
        <v>64</v>
      </c>
      <c r="D19" s="1">
        <v>840</v>
      </c>
      <c r="E19" s="1">
        <v>80</v>
      </c>
      <c r="F19" s="1">
        <v>15</v>
      </c>
      <c r="G19" s="1">
        <v>5</v>
      </c>
      <c r="H19" s="1">
        <v>20</v>
      </c>
      <c r="I19" s="1"/>
      <c r="J19" s="1">
        <v>10</v>
      </c>
      <c r="K19" s="1"/>
      <c r="L19" s="1">
        <v>10</v>
      </c>
      <c r="M19" s="1"/>
      <c r="N19" s="3">
        <v>292835</v>
      </c>
      <c r="O19" s="3">
        <v>12999</v>
      </c>
      <c r="P19" s="4">
        <f t="shared" si="0"/>
        <v>305834</v>
      </c>
    </row>
    <row r="20" spans="1:16" x14ac:dyDescent="0.25">
      <c r="A20" s="1">
        <v>16</v>
      </c>
      <c r="B20" s="6" t="s">
        <v>65</v>
      </c>
      <c r="C20" s="2" t="s">
        <v>66</v>
      </c>
      <c r="D20" s="1">
        <f>848+900+850</f>
        <v>2598</v>
      </c>
      <c r="E20" s="1">
        <f>200+200+100+200</f>
        <v>700</v>
      </c>
      <c r="F20" s="1">
        <f>25+25</f>
        <v>50</v>
      </c>
      <c r="G20" s="1">
        <f>10+10</f>
        <v>20</v>
      </c>
      <c r="H20" s="1">
        <f>100+100</f>
        <v>200</v>
      </c>
      <c r="I20" s="1"/>
      <c r="J20" s="1">
        <f>5</f>
        <v>5</v>
      </c>
      <c r="K20" s="1"/>
      <c r="L20" s="1">
        <f>5</f>
        <v>5</v>
      </c>
      <c r="M20" s="1"/>
      <c r="N20" s="3">
        <f>424047+399915+410288</f>
        <v>1234250</v>
      </c>
      <c r="O20" s="3">
        <f>6500</f>
        <v>6500</v>
      </c>
      <c r="P20" s="4">
        <f t="shared" si="0"/>
        <v>1240750</v>
      </c>
    </row>
    <row r="21" spans="1:16" x14ac:dyDescent="0.25">
      <c r="A21" s="1">
        <v>17</v>
      </c>
      <c r="B21" s="6" t="s">
        <v>67</v>
      </c>
      <c r="C21" s="2" t="s">
        <v>68</v>
      </c>
      <c r="D21" s="1">
        <v>450</v>
      </c>
      <c r="E21" s="1">
        <v>600</v>
      </c>
      <c r="F21" s="1"/>
      <c r="G21" s="1"/>
      <c r="H21" s="1"/>
      <c r="I21" s="1"/>
      <c r="J21" s="1"/>
      <c r="K21" s="1"/>
      <c r="L21" s="1"/>
      <c r="M21" s="1"/>
      <c r="N21" s="3">
        <v>412189</v>
      </c>
      <c r="O21" s="3"/>
      <c r="P21" s="4">
        <f t="shared" si="0"/>
        <v>412189</v>
      </c>
    </row>
    <row r="22" spans="1:16" x14ac:dyDescent="0.25">
      <c r="A22" s="1">
        <v>18</v>
      </c>
      <c r="B22" s="6" t="s">
        <v>69</v>
      </c>
      <c r="C22" s="2" t="s">
        <v>70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3"/>
      <c r="O22" s="3"/>
      <c r="P22" s="4">
        <f t="shared" si="0"/>
        <v>0</v>
      </c>
    </row>
    <row r="23" spans="1:16" x14ac:dyDescent="0.25">
      <c r="A23" s="1">
        <v>19</v>
      </c>
      <c r="B23" s="6" t="s">
        <v>178</v>
      </c>
      <c r="C23" s="2" t="s">
        <v>70</v>
      </c>
      <c r="D23" s="1">
        <v>422</v>
      </c>
      <c r="E23" s="1">
        <v>300</v>
      </c>
      <c r="F23" s="1">
        <v>25</v>
      </c>
      <c r="G23" s="1"/>
      <c r="H23" s="1">
        <v>25</v>
      </c>
      <c r="I23" s="1"/>
      <c r="J23" s="1">
        <v>20</v>
      </c>
      <c r="K23" s="1">
        <v>20</v>
      </c>
      <c r="L23" s="1">
        <v>20</v>
      </c>
      <c r="M23" s="1">
        <v>10</v>
      </c>
      <c r="N23" s="3">
        <v>413537</v>
      </c>
      <c r="O23" s="3">
        <v>51331</v>
      </c>
      <c r="P23" s="4">
        <f t="shared" si="0"/>
        <v>464868</v>
      </c>
    </row>
    <row r="24" spans="1:16" x14ac:dyDescent="0.25">
      <c r="A24" s="1">
        <v>20</v>
      </c>
      <c r="B24" s="6" t="s">
        <v>164</v>
      </c>
      <c r="C24" s="2" t="s">
        <v>165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  <c r="O24" s="3"/>
      <c r="P24" s="4">
        <f t="shared" si="0"/>
        <v>0</v>
      </c>
    </row>
    <row r="25" spans="1:16" x14ac:dyDescent="0.25">
      <c r="A25" s="1"/>
      <c r="B25" s="30" t="s">
        <v>171</v>
      </c>
      <c r="C25" s="28" t="s">
        <v>172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3"/>
      <c r="O25" s="3"/>
      <c r="P25" s="4">
        <f t="shared" si="0"/>
        <v>0</v>
      </c>
    </row>
    <row r="26" spans="1:16" x14ac:dyDescent="0.25">
      <c r="A26" s="1">
        <v>21</v>
      </c>
      <c r="B26" s="6" t="s">
        <v>194</v>
      </c>
      <c r="C26" s="2" t="s">
        <v>172</v>
      </c>
      <c r="D26" s="1">
        <v>250</v>
      </c>
      <c r="E26" s="1">
        <v>320</v>
      </c>
      <c r="F26" s="1">
        <v>25</v>
      </c>
      <c r="G26" s="1"/>
      <c r="H26" s="1">
        <v>75</v>
      </c>
      <c r="I26" s="1"/>
      <c r="J26" s="1"/>
      <c r="K26" s="1"/>
      <c r="L26" s="1"/>
      <c r="M26" s="1"/>
      <c r="N26" s="3">
        <v>307317</v>
      </c>
      <c r="O26" s="3"/>
      <c r="P26" s="4">
        <f t="shared" si="0"/>
        <v>307317</v>
      </c>
    </row>
    <row r="27" spans="1:16" x14ac:dyDescent="0.25">
      <c r="A27" s="1">
        <v>22</v>
      </c>
      <c r="B27" s="6" t="s">
        <v>191</v>
      </c>
      <c r="C27" s="2" t="s">
        <v>192</v>
      </c>
      <c r="D27" s="1">
        <v>250</v>
      </c>
      <c r="E27" s="1">
        <v>450</v>
      </c>
      <c r="F27" s="1">
        <v>12</v>
      </c>
      <c r="G27" s="1"/>
      <c r="H27" s="1">
        <v>25</v>
      </c>
      <c r="I27" s="1"/>
      <c r="J27" s="1">
        <v>5</v>
      </c>
      <c r="K27" s="1"/>
      <c r="L27" s="1">
        <v>5</v>
      </c>
      <c r="M27" s="1"/>
      <c r="N27" s="3">
        <v>321086</v>
      </c>
      <c r="O27" s="3">
        <v>6499</v>
      </c>
      <c r="P27" s="4">
        <f t="shared" si="0"/>
        <v>327585</v>
      </c>
    </row>
    <row r="28" spans="1:16" x14ac:dyDescent="0.25">
      <c r="A28" s="1">
        <v>23</v>
      </c>
      <c r="B28" s="2" t="s">
        <v>71</v>
      </c>
      <c r="C28" s="2" t="s">
        <v>72</v>
      </c>
      <c r="D28" s="1">
        <f>500+590</f>
        <v>1090</v>
      </c>
      <c r="E28" s="1">
        <f>250+170</f>
        <v>420</v>
      </c>
      <c r="F28" s="1">
        <f>30+60</f>
        <v>90</v>
      </c>
      <c r="G28" s="1">
        <f>40+50</f>
        <v>90</v>
      </c>
      <c r="H28" s="1">
        <f>35+80</f>
        <v>115</v>
      </c>
      <c r="I28" s="1"/>
      <c r="J28" s="1"/>
      <c r="K28" s="1"/>
      <c r="L28" s="1"/>
      <c r="M28" s="1"/>
      <c r="N28" s="3">
        <f>327884+378485</f>
        <v>706369</v>
      </c>
      <c r="O28" s="3"/>
      <c r="P28" s="4">
        <f t="shared" si="0"/>
        <v>706369</v>
      </c>
    </row>
    <row r="29" spans="1:16" x14ac:dyDescent="0.25">
      <c r="A29" s="1">
        <v>24</v>
      </c>
      <c r="B29" s="2" t="s">
        <v>73</v>
      </c>
      <c r="C29" s="2" t="s">
        <v>74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3"/>
      <c r="O29" s="3"/>
      <c r="P29" s="4">
        <f t="shared" si="0"/>
        <v>0</v>
      </c>
    </row>
    <row r="30" spans="1:16" x14ac:dyDescent="0.25">
      <c r="A30" s="1">
        <v>25</v>
      </c>
      <c r="B30" s="2" t="s">
        <v>75</v>
      </c>
      <c r="C30" s="2" t="s">
        <v>76</v>
      </c>
      <c r="D30" s="7">
        <v>725</v>
      </c>
      <c r="E30" s="7">
        <v>80</v>
      </c>
      <c r="F30" s="7"/>
      <c r="G30" s="7">
        <v>10</v>
      </c>
      <c r="H30" s="7">
        <v>10</v>
      </c>
      <c r="I30" s="7"/>
      <c r="J30" s="7"/>
      <c r="K30" s="7"/>
      <c r="L30" s="7"/>
      <c r="M30" s="7"/>
      <c r="N30" s="8">
        <v>237538</v>
      </c>
      <c r="O30" s="8"/>
      <c r="P30" s="4">
        <f t="shared" si="0"/>
        <v>237538</v>
      </c>
    </row>
    <row r="31" spans="1:16" x14ac:dyDescent="0.25">
      <c r="A31" s="1">
        <v>26</v>
      </c>
      <c r="B31" s="2" t="s">
        <v>181</v>
      </c>
      <c r="C31" s="2" t="s">
        <v>182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8"/>
      <c r="O31" s="8"/>
      <c r="P31" s="4">
        <f t="shared" si="0"/>
        <v>0</v>
      </c>
    </row>
    <row r="32" spans="1:16" x14ac:dyDescent="0.25">
      <c r="A32" s="1">
        <v>27</v>
      </c>
      <c r="B32" s="2" t="s">
        <v>79</v>
      </c>
      <c r="C32" s="2" t="s">
        <v>80</v>
      </c>
      <c r="D32" s="7">
        <f>500</f>
        <v>500</v>
      </c>
      <c r="E32" s="7">
        <f>250</f>
        <v>250</v>
      </c>
      <c r="F32" s="7">
        <f>25</f>
        <v>25</v>
      </c>
      <c r="G32" s="7"/>
      <c r="H32" s="7">
        <f>50</f>
        <v>50</v>
      </c>
      <c r="I32" s="7"/>
      <c r="J32" s="7">
        <f>10</f>
        <v>10</v>
      </c>
      <c r="K32" s="7">
        <f>5</f>
        <v>5</v>
      </c>
      <c r="L32" s="7">
        <f>10</f>
        <v>10</v>
      </c>
      <c r="M32" s="7">
        <f>5</f>
        <v>5</v>
      </c>
      <c r="N32" s="8">
        <f>320670</f>
        <v>320670</v>
      </c>
      <c r="O32" s="8">
        <f>21651</f>
        <v>21651</v>
      </c>
      <c r="P32" s="4">
        <f t="shared" si="0"/>
        <v>342321</v>
      </c>
    </row>
    <row r="33" spans="1:16" x14ac:dyDescent="0.25">
      <c r="A33" s="1">
        <v>28</v>
      </c>
      <c r="B33" s="2" t="s">
        <v>193</v>
      </c>
      <c r="C33" s="2" t="s">
        <v>80</v>
      </c>
      <c r="D33" s="7">
        <f>800</f>
        <v>800</v>
      </c>
      <c r="E33" s="7">
        <f>400</f>
        <v>400</v>
      </c>
      <c r="F33" s="7"/>
      <c r="G33" s="7"/>
      <c r="H33" s="7"/>
      <c r="I33" s="7"/>
      <c r="J33" s="7"/>
      <c r="K33" s="7"/>
      <c r="L33" s="7"/>
      <c r="M33" s="7"/>
      <c r="N33" s="8">
        <f>404158</f>
        <v>404158</v>
      </c>
      <c r="O33" s="8"/>
      <c r="P33" s="4">
        <f t="shared" si="0"/>
        <v>404158</v>
      </c>
    </row>
    <row r="34" spans="1:16" x14ac:dyDescent="0.25">
      <c r="A34" s="1">
        <v>29</v>
      </c>
      <c r="B34" s="2" t="s">
        <v>81</v>
      </c>
      <c r="C34" s="2" t="s">
        <v>82</v>
      </c>
      <c r="D34" s="1">
        <f>650+633+555</f>
        <v>1838</v>
      </c>
      <c r="E34" s="1">
        <f>228+220+200</f>
        <v>648</v>
      </c>
      <c r="F34" s="1"/>
      <c r="G34" s="1">
        <f>15</f>
        <v>15</v>
      </c>
      <c r="H34" s="1">
        <f>25+25+50</f>
        <v>100</v>
      </c>
      <c r="I34" s="1"/>
      <c r="J34" s="1"/>
      <c r="K34" s="1"/>
      <c r="L34" s="1"/>
      <c r="M34" s="1"/>
      <c r="N34" s="3">
        <f>299919+300063+299927</f>
        <v>899909</v>
      </c>
      <c r="O34" s="3"/>
      <c r="P34" s="4">
        <f t="shared" si="0"/>
        <v>899909</v>
      </c>
    </row>
    <row r="35" spans="1:16" x14ac:dyDescent="0.25">
      <c r="A35" s="1">
        <v>30</v>
      </c>
      <c r="B35" s="2" t="s">
        <v>183</v>
      </c>
      <c r="C35" s="2" t="s">
        <v>184</v>
      </c>
      <c r="D35" s="1">
        <v>100</v>
      </c>
      <c r="E35" s="1">
        <v>180</v>
      </c>
      <c r="F35" s="1">
        <v>15</v>
      </c>
      <c r="G35" s="1"/>
      <c r="H35" s="1">
        <v>200</v>
      </c>
      <c r="I35" s="1"/>
      <c r="J35" s="1">
        <v>5</v>
      </c>
      <c r="K35" s="1"/>
      <c r="L35" s="1">
        <v>5</v>
      </c>
      <c r="M35" s="1"/>
      <c r="N35" s="3">
        <v>293192</v>
      </c>
      <c r="O35" s="3">
        <v>6499</v>
      </c>
      <c r="P35" s="4">
        <f t="shared" si="0"/>
        <v>299691</v>
      </c>
    </row>
    <row r="36" spans="1:16" x14ac:dyDescent="0.25">
      <c r="A36" s="1">
        <v>31</v>
      </c>
      <c r="B36" s="2" t="s">
        <v>205</v>
      </c>
      <c r="C36" s="2" t="s">
        <v>157</v>
      </c>
      <c r="D36" s="1">
        <f>500+735</f>
        <v>1235</v>
      </c>
      <c r="E36" s="1">
        <f>130+100</f>
        <v>230</v>
      </c>
      <c r="F36" s="1">
        <f>40+30</f>
        <v>70</v>
      </c>
      <c r="G36" s="1"/>
      <c r="H36" s="1">
        <f>180+120</f>
        <v>300</v>
      </c>
      <c r="I36" s="1"/>
      <c r="J36" s="1">
        <f>20+20</f>
        <v>40</v>
      </c>
      <c r="K36" s="1"/>
      <c r="L36" s="1">
        <f>20+20</f>
        <v>40</v>
      </c>
      <c r="M36" s="1"/>
      <c r="N36" s="3">
        <f>386210+360443</f>
        <v>746653</v>
      </c>
      <c r="O36" s="3">
        <f>25998+25998</f>
        <v>51996</v>
      </c>
      <c r="P36" s="4">
        <f t="shared" si="0"/>
        <v>798649</v>
      </c>
    </row>
    <row r="37" spans="1:16" x14ac:dyDescent="0.25">
      <c r="A37" s="1">
        <v>32</v>
      </c>
      <c r="B37" s="2" t="s">
        <v>186</v>
      </c>
      <c r="C37" s="2" t="s">
        <v>187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  <c r="O37" s="3"/>
      <c r="P37" s="4">
        <f t="shared" si="0"/>
        <v>0</v>
      </c>
    </row>
    <row r="38" spans="1:16" x14ac:dyDescent="0.25">
      <c r="A38" s="1">
        <v>33</v>
      </c>
      <c r="B38" s="2" t="s">
        <v>197</v>
      </c>
      <c r="C38" s="2" t="s">
        <v>198</v>
      </c>
      <c r="D38" s="1">
        <v>860</v>
      </c>
      <c r="E38" s="1">
        <v>80</v>
      </c>
      <c r="F38" s="1">
        <v>50</v>
      </c>
      <c r="G38" s="1"/>
      <c r="H38" s="1">
        <v>100</v>
      </c>
      <c r="I38" s="1"/>
      <c r="J38" s="1">
        <v>10</v>
      </c>
      <c r="K38" s="1"/>
      <c r="L38" s="1"/>
      <c r="M38" s="1"/>
      <c r="N38" s="3">
        <v>393841</v>
      </c>
      <c r="O38" s="3">
        <v>6499</v>
      </c>
      <c r="P38" s="4">
        <f t="shared" si="0"/>
        <v>400340</v>
      </c>
    </row>
    <row r="39" spans="1:16" x14ac:dyDescent="0.25">
      <c r="A39" s="1">
        <v>34</v>
      </c>
      <c r="B39" s="2" t="s">
        <v>206</v>
      </c>
      <c r="C39" s="2" t="s">
        <v>207</v>
      </c>
      <c r="D39" s="1">
        <v>350</v>
      </c>
      <c r="E39" s="1">
        <v>40</v>
      </c>
      <c r="F39" s="1"/>
      <c r="G39" s="1">
        <v>10</v>
      </c>
      <c r="H39" s="1">
        <v>20</v>
      </c>
      <c r="I39" s="1"/>
      <c r="J39" s="1"/>
      <c r="K39" s="1"/>
      <c r="L39" s="1"/>
      <c r="M39" s="1"/>
      <c r="N39" s="3">
        <v>134859</v>
      </c>
      <c r="O39" s="3"/>
      <c r="P39" s="4">
        <f t="shared" si="0"/>
        <v>134859</v>
      </c>
    </row>
    <row r="40" spans="1:16" x14ac:dyDescent="0.25">
      <c r="A40" s="1">
        <v>35</v>
      </c>
      <c r="B40" s="2" t="s">
        <v>209</v>
      </c>
      <c r="C40" s="2" t="s">
        <v>208</v>
      </c>
      <c r="D40" s="1">
        <v>300</v>
      </c>
      <c r="E40" s="1">
        <v>50</v>
      </c>
      <c r="F40" s="1"/>
      <c r="G40" s="1">
        <v>50</v>
      </c>
      <c r="H40" s="1">
        <v>20</v>
      </c>
      <c r="I40" s="1"/>
      <c r="J40" s="1"/>
      <c r="K40" s="1"/>
      <c r="L40" s="1"/>
      <c r="M40" s="1"/>
      <c r="N40" s="3">
        <v>151301</v>
      </c>
      <c r="O40" s="3"/>
      <c r="P40" s="4">
        <f t="shared" si="0"/>
        <v>151301</v>
      </c>
    </row>
    <row r="41" spans="1:16" x14ac:dyDescent="0.25">
      <c r="A41" s="1">
        <v>36</v>
      </c>
      <c r="B41" s="2" t="s">
        <v>162</v>
      </c>
      <c r="C41" s="2" t="s">
        <v>163</v>
      </c>
      <c r="D41" s="1">
        <v>350</v>
      </c>
      <c r="E41" s="1"/>
      <c r="F41" s="1">
        <v>30</v>
      </c>
      <c r="G41" s="1"/>
      <c r="H41" s="1">
        <v>100</v>
      </c>
      <c r="I41" s="1"/>
      <c r="J41" s="1">
        <v>21</v>
      </c>
      <c r="K41" s="1">
        <v>15</v>
      </c>
      <c r="L41" s="1">
        <v>9</v>
      </c>
      <c r="M41" s="1">
        <v>15</v>
      </c>
      <c r="N41" s="3">
        <v>206343</v>
      </c>
      <c r="O41" s="3">
        <v>46282</v>
      </c>
      <c r="P41" s="4">
        <f t="shared" si="0"/>
        <v>252625</v>
      </c>
    </row>
    <row r="42" spans="1:16" x14ac:dyDescent="0.25">
      <c r="A42" s="1">
        <v>37</v>
      </c>
      <c r="B42" s="2" t="s">
        <v>188</v>
      </c>
      <c r="C42" s="2" t="s">
        <v>189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  <c r="P42" s="4">
        <f t="shared" si="0"/>
        <v>0</v>
      </c>
    </row>
    <row r="43" spans="1:16" x14ac:dyDescent="0.25">
      <c r="A43" s="1">
        <v>38</v>
      </c>
      <c r="B43" s="2" t="s">
        <v>83</v>
      </c>
      <c r="C43" s="2" t="s">
        <v>84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  <c r="O43" s="3"/>
      <c r="P43" s="4">
        <f t="shared" si="0"/>
        <v>0</v>
      </c>
    </row>
    <row r="44" spans="1:16" x14ac:dyDescent="0.25">
      <c r="A44" s="1">
        <v>39</v>
      </c>
      <c r="B44" s="2" t="s">
        <v>177</v>
      </c>
      <c r="C44" s="2" t="s">
        <v>84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  <c r="O44" s="3"/>
      <c r="P44" s="4">
        <f t="shared" si="0"/>
        <v>0</v>
      </c>
    </row>
    <row r="45" spans="1:16" x14ac:dyDescent="0.25">
      <c r="A45" s="1">
        <v>40</v>
      </c>
      <c r="B45" s="2" t="s">
        <v>85</v>
      </c>
      <c r="C45" s="2" t="s">
        <v>86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  <c r="O45" s="3"/>
      <c r="P45" s="4">
        <f t="shared" si="0"/>
        <v>0</v>
      </c>
    </row>
    <row r="46" spans="1:16" x14ac:dyDescent="0.25">
      <c r="A46" s="1">
        <v>41</v>
      </c>
      <c r="B46" s="2" t="s">
        <v>87</v>
      </c>
      <c r="C46" s="2" t="s">
        <v>88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3"/>
      <c r="O46" s="3"/>
      <c r="P46" s="4">
        <f t="shared" si="0"/>
        <v>0</v>
      </c>
    </row>
    <row r="47" spans="1:16" x14ac:dyDescent="0.25">
      <c r="A47" s="1">
        <v>42</v>
      </c>
      <c r="B47" s="2" t="s">
        <v>89</v>
      </c>
      <c r="C47" s="2" t="s">
        <v>90</v>
      </c>
      <c r="D47" s="1">
        <v>250</v>
      </c>
      <c r="E47" s="1">
        <v>500</v>
      </c>
      <c r="F47" s="1"/>
      <c r="G47" s="1"/>
      <c r="H47" s="1">
        <v>60</v>
      </c>
      <c r="I47" s="1">
        <v>10</v>
      </c>
      <c r="J47" s="1"/>
      <c r="K47" s="1">
        <v>9</v>
      </c>
      <c r="L47" s="1">
        <v>5</v>
      </c>
      <c r="M47" s="1">
        <v>15</v>
      </c>
      <c r="N47" s="3">
        <v>467297</v>
      </c>
      <c r="O47" s="3">
        <v>24766</v>
      </c>
      <c r="P47" s="4">
        <f t="shared" si="0"/>
        <v>492063</v>
      </c>
    </row>
    <row r="48" spans="1:16" x14ac:dyDescent="0.25">
      <c r="A48" s="1">
        <v>43</v>
      </c>
      <c r="B48" s="2" t="s">
        <v>91</v>
      </c>
      <c r="C48" s="2" t="s">
        <v>92</v>
      </c>
      <c r="D48" s="1">
        <v>370</v>
      </c>
      <c r="E48" s="1">
        <v>300</v>
      </c>
      <c r="F48" s="1"/>
      <c r="G48" s="1"/>
      <c r="H48" s="1">
        <v>50</v>
      </c>
      <c r="I48" s="1"/>
      <c r="J48" s="1"/>
      <c r="K48" s="1"/>
      <c r="L48" s="1"/>
      <c r="M48" s="1"/>
      <c r="N48" s="3">
        <v>407306</v>
      </c>
      <c r="O48" s="3"/>
      <c r="P48" s="4">
        <f t="shared" si="0"/>
        <v>407306</v>
      </c>
    </row>
    <row r="49" spans="1:16" x14ac:dyDescent="0.25">
      <c r="A49" s="1">
        <v>44</v>
      </c>
      <c r="B49" s="2" t="s">
        <v>93</v>
      </c>
      <c r="C49" s="2" t="s">
        <v>94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  <c r="O49" s="3"/>
      <c r="P49" s="4">
        <f t="shared" si="0"/>
        <v>0</v>
      </c>
    </row>
    <row r="50" spans="1:16" x14ac:dyDescent="0.25">
      <c r="A50" s="1">
        <v>45</v>
      </c>
      <c r="B50" s="2" t="s">
        <v>95</v>
      </c>
      <c r="C50" s="2" t="s">
        <v>96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3"/>
      <c r="O50" s="3"/>
      <c r="P50" s="4">
        <f t="shared" si="0"/>
        <v>0</v>
      </c>
    </row>
    <row r="51" spans="1:16" x14ac:dyDescent="0.25">
      <c r="A51" s="1">
        <v>46</v>
      </c>
      <c r="B51" s="2" t="s">
        <v>97</v>
      </c>
      <c r="C51" s="2" t="s">
        <v>98</v>
      </c>
      <c r="D51" s="1">
        <f>210+302</f>
        <v>512</v>
      </c>
      <c r="E51" s="1"/>
      <c r="F51" s="1">
        <v>10</v>
      </c>
      <c r="G51" s="1"/>
      <c r="H51" s="1">
        <v>40</v>
      </c>
      <c r="I51" s="1"/>
      <c r="J51" s="1">
        <v>8</v>
      </c>
      <c r="K51" s="1">
        <v>8</v>
      </c>
      <c r="L51" s="1">
        <v>8</v>
      </c>
      <c r="M51" s="1">
        <v>8</v>
      </c>
      <c r="N51" s="3">
        <v>283808</v>
      </c>
      <c r="O51" s="3">
        <v>24978</v>
      </c>
      <c r="P51" s="4">
        <f t="shared" si="0"/>
        <v>308786</v>
      </c>
    </row>
    <row r="52" spans="1:16" x14ac:dyDescent="0.25">
      <c r="A52" s="1">
        <v>47</v>
      </c>
      <c r="B52" s="2" t="s">
        <v>99</v>
      </c>
      <c r="C52" s="2" t="s">
        <v>100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3"/>
      <c r="O52" s="3"/>
      <c r="P52" s="4">
        <f t="shared" si="0"/>
        <v>0</v>
      </c>
    </row>
    <row r="53" spans="1:16" x14ac:dyDescent="0.25">
      <c r="A53" s="1">
        <v>48</v>
      </c>
      <c r="B53" s="2" t="s">
        <v>101</v>
      </c>
      <c r="C53" s="2" t="s">
        <v>102</v>
      </c>
      <c r="D53" s="1"/>
      <c r="E53" s="1">
        <v>600</v>
      </c>
      <c r="F53" s="1"/>
      <c r="G53" s="1"/>
      <c r="H53" s="1"/>
      <c r="I53" s="1"/>
      <c r="J53" s="1"/>
      <c r="K53" s="1"/>
      <c r="L53" s="1"/>
      <c r="M53" s="1"/>
      <c r="N53" s="3">
        <v>325231</v>
      </c>
      <c r="O53" s="3"/>
      <c r="P53" s="4">
        <f t="shared" si="0"/>
        <v>325231</v>
      </c>
    </row>
    <row r="54" spans="1:16" x14ac:dyDescent="0.25">
      <c r="A54" s="1">
        <v>49</v>
      </c>
      <c r="B54" s="2" t="s">
        <v>103</v>
      </c>
      <c r="C54" s="2" t="s">
        <v>104</v>
      </c>
      <c r="D54" s="1">
        <v>400</v>
      </c>
      <c r="E54" s="1">
        <v>600</v>
      </c>
      <c r="F54" s="1"/>
      <c r="G54" s="1"/>
      <c r="H54" s="1"/>
      <c r="I54" s="1"/>
      <c r="J54" s="1"/>
      <c r="K54" s="1"/>
      <c r="L54" s="1"/>
      <c r="M54" s="1"/>
      <c r="N54" s="3">
        <v>542052</v>
      </c>
      <c r="O54" s="3"/>
      <c r="P54" s="4">
        <f t="shared" si="0"/>
        <v>542052</v>
      </c>
    </row>
    <row r="55" spans="1:16" x14ac:dyDescent="0.25">
      <c r="A55" s="1"/>
      <c r="B55" s="28" t="s">
        <v>167</v>
      </c>
      <c r="C55" s="28" t="s">
        <v>168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3"/>
      <c r="O55" s="3"/>
      <c r="P55" s="4">
        <f t="shared" si="0"/>
        <v>0</v>
      </c>
    </row>
    <row r="56" spans="1:16" x14ac:dyDescent="0.25">
      <c r="A56" s="1">
        <v>50</v>
      </c>
      <c r="B56" s="2" t="s">
        <v>201</v>
      </c>
      <c r="C56" s="2" t="s">
        <v>202</v>
      </c>
      <c r="D56" s="1">
        <v>50</v>
      </c>
      <c r="E56" s="1">
        <v>200</v>
      </c>
      <c r="F56" s="1"/>
      <c r="G56" s="1"/>
      <c r="H56" s="1">
        <v>200</v>
      </c>
      <c r="I56" s="1">
        <v>150</v>
      </c>
      <c r="J56" s="1">
        <v>30</v>
      </c>
      <c r="K56" s="1">
        <v>10</v>
      </c>
      <c r="L56" s="1">
        <v>27</v>
      </c>
      <c r="M56" s="1">
        <v>30</v>
      </c>
      <c r="N56" s="3">
        <v>420015</v>
      </c>
      <c r="O56" s="3">
        <v>73940</v>
      </c>
      <c r="P56" s="4">
        <f t="shared" si="0"/>
        <v>493955</v>
      </c>
    </row>
    <row r="57" spans="1:16" x14ac:dyDescent="0.25">
      <c r="A57" s="1">
        <v>51</v>
      </c>
      <c r="B57" s="2" t="s">
        <v>169</v>
      </c>
      <c r="C57" s="2" t="s">
        <v>170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3"/>
      <c r="O57" s="3"/>
      <c r="P57" s="4">
        <f t="shared" si="0"/>
        <v>0</v>
      </c>
    </row>
    <row r="58" spans="1:16" x14ac:dyDescent="0.25">
      <c r="A58" s="1">
        <v>52</v>
      </c>
      <c r="B58" s="2" t="s">
        <v>105</v>
      </c>
      <c r="C58" s="2" t="s">
        <v>106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  <c r="O58" s="3"/>
      <c r="P58" s="4">
        <f t="shared" si="0"/>
        <v>0</v>
      </c>
    </row>
    <row r="59" spans="1:16" x14ac:dyDescent="0.25">
      <c r="A59" s="1">
        <v>53</v>
      </c>
      <c r="B59" s="2" t="s">
        <v>107</v>
      </c>
      <c r="C59" s="2" t="s">
        <v>108</v>
      </c>
      <c r="D59" s="1">
        <v>800</v>
      </c>
      <c r="E59" s="1">
        <v>350</v>
      </c>
      <c r="F59" s="1">
        <v>10</v>
      </c>
      <c r="G59" s="1">
        <v>10</v>
      </c>
      <c r="H59" s="1">
        <v>30</v>
      </c>
      <c r="I59" s="1"/>
      <c r="J59" s="1"/>
      <c r="K59" s="1"/>
      <c r="L59" s="1"/>
      <c r="M59" s="1"/>
      <c r="N59" s="3">
        <v>421348</v>
      </c>
      <c r="O59" s="3"/>
      <c r="P59" s="4">
        <f t="shared" si="0"/>
        <v>421348</v>
      </c>
    </row>
    <row r="60" spans="1:16" x14ac:dyDescent="0.25">
      <c r="A60" s="1">
        <v>54</v>
      </c>
      <c r="B60" s="2" t="s">
        <v>109</v>
      </c>
      <c r="C60" s="2" t="s">
        <v>110</v>
      </c>
      <c r="D60" s="1">
        <v>1080</v>
      </c>
      <c r="E60" s="1">
        <v>80</v>
      </c>
      <c r="F60" s="1"/>
      <c r="G60" s="1"/>
      <c r="H60" s="1">
        <v>65</v>
      </c>
      <c r="I60" s="1"/>
      <c r="J60" s="1"/>
      <c r="K60" s="1">
        <v>27</v>
      </c>
      <c r="L60" s="1"/>
      <c r="M60" s="1">
        <v>12</v>
      </c>
      <c r="N60" s="3">
        <v>366599</v>
      </c>
      <c r="O60" s="3">
        <v>33742</v>
      </c>
      <c r="P60" s="4">
        <f t="shared" si="0"/>
        <v>400341</v>
      </c>
    </row>
    <row r="61" spans="1:16" x14ac:dyDescent="0.25">
      <c r="A61" s="1">
        <v>55</v>
      </c>
      <c r="B61" s="2" t="s">
        <v>179</v>
      </c>
      <c r="C61" s="2" t="s">
        <v>174</v>
      </c>
      <c r="D61" s="1">
        <f>370+600</f>
        <v>970</v>
      </c>
      <c r="E61" s="1">
        <f>200+220</f>
        <v>420</v>
      </c>
      <c r="F61" s="1">
        <f>10+20</f>
        <v>30</v>
      </c>
      <c r="G61" s="1">
        <f>10+9</f>
        <v>19</v>
      </c>
      <c r="H61" s="1">
        <f>50+50</f>
        <v>100</v>
      </c>
      <c r="I61" s="1"/>
      <c r="J61" s="1">
        <f>7+20</f>
        <v>27</v>
      </c>
      <c r="K61" s="1">
        <f>20+20</f>
        <v>40</v>
      </c>
      <c r="L61" s="1">
        <f>64+66</f>
        <v>130</v>
      </c>
      <c r="M61" s="1">
        <f>100+81</f>
        <v>181</v>
      </c>
      <c r="N61" s="3">
        <f>249757+335678</f>
        <v>585435</v>
      </c>
      <c r="O61" s="3">
        <f>149967+143278</f>
        <v>293245</v>
      </c>
      <c r="P61" s="4">
        <f t="shared" si="0"/>
        <v>878680</v>
      </c>
    </row>
    <row r="62" spans="1:16" x14ac:dyDescent="0.25">
      <c r="A62" s="1">
        <v>56</v>
      </c>
      <c r="B62" s="5" t="s">
        <v>111</v>
      </c>
      <c r="C62" s="2" t="s">
        <v>112</v>
      </c>
      <c r="D62" s="1">
        <f>500+285</f>
        <v>785</v>
      </c>
      <c r="E62" s="1">
        <f>100+150</f>
        <v>250</v>
      </c>
      <c r="F62" s="1">
        <v>20</v>
      </c>
      <c r="G62" s="1">
        <v>10</v>
      </c>
      <c r="H62" s="1">
        <v>15</v>
      </c>
      <c r="I62" s="1"/>
      <c r="J62" s="1"/>
      <c r="K62" s="1"/>
      <c r="L62" s="1"/>
      <c r="M62" s="1"/>
      <c r="N62" s="3">
        <f>176791+188139</f>
        <v>364930</v>
      </c>
      <c r="O62" s="3"/>
      <c r="P62" s="4">
        <f t="shared" si="0"/>
        <v>364930</v>
      </c>
    </row>
    <row r="63" spans="1:16" x14ac:dyDescent="0.25">
      <c r="A63" s="1">
        <v>57</v>
      </c>
      <c r="B63" s="2" t="s">
        <v>113</v>
      </c>
      <c r="C63" s="2" t="s">
        <v>114</v>
      </c>
      <c r="D63" s="1"/>
      <c r="E63" s="1"/>
      <c r="F63" s="1">
        <v>10</v>
      </c>
      <c r="G63" s="1"/>
      <c r="H63" s="1">
        <v>85</v>
      </c>
      <c r="I63" s="1">
        <v>30</v>
      </c>
      <c r="J63" s="1"/>
      <c r="K63" s="1"/>
      <c r="L63" s="1"/>
      <c r="M63" s="1"/>
      <c r="N63" s="3">
        <v>104204</v>
      </c>
      <c r="O63" s="3"/>
      <c r="P63" s="4">
        <f t="shared" si="0"/>
        <v>104204</v>
      </c>
    </row>
    <row r="64" spans="1:16" x14ac:dyDescent="0.25">
      <c r="A64" s="1">
        <v>58</v>
      </c>
      <c r="B64" s="2" t="s">
        <v>115</v>
      </c>
      <c r="C64" s="2" t="s">
        <v>116</v>
      </c>
      <c r="D64" s="1">
        <v>30</v>
      </c>
      <c r="E64" s="1">
        <v>20</v>
      </c>
      <c r="F64" s="1"/>
      <c r="G64" s="1"/>
      <c r="H64" s="1">
        <f>150+25</f>
        <v>175</v>
      </c>
      <c r="I64" s="1">
        <v>75</v>
      </c>
      <c r="J64" s="1"/>
      <c r="K64" s="1"/>
      <c r="L64" s="1"/>
      <c r="M64" s="1"/>
      <c r="N64" s="3">
        <f>203497+21420</f>
        <v>224917</v>
      </c>
      <c r="O64" s="3"/>
      <c r="P64" s="4">
        <f t="shared" si="0"/>
        <v>224917</v>
      </c>
    </row>
    <row r="65" spans="1:18" x14ac:dyDescent="0.25">
      <c r="A65" s="1">
        <v>59</v>
      </c>
      <c r="B65" s="2" t="s">
        <v>158</v>
      </c>
      <c r="C65" s="2" t="s">
        <v>118</v>
      </c>
      <c r="D65" s="1">
        <f>255+350+295</f>
        <v>900</v>
      </c>
      <c r="E65" s="1">
        <f>230+125+60</f>
        <v>415</v>
      </c>
      <c r="F65" s="1">
        <v>12</v>
      </c>
      <c r="G65" s="1">
        <v>15</v>
      </c>
      <c r="H65" s="1">
        <f>25+25</f>
        <v>50</v>
      </c>
      <c r="I65" s="1"/>
      <c r="J65" s="1">
        <f>3</f>
        <v>3</v>
      </c>
      <c r="K65" s="1"/>
      <c r="L65" s="1">
        <f>3</f>
        <v>3</v>
      </c>
      <c r="M65" s="1"/>
      <c r="N65" s="3">
        <f>180627+177232+148664</f>
        <v>506523</v>
      </c>
      <c r="O65" s="3">
        <f>3899</f>
        <v>3899</v>
      </c>
      <c r="P65" s="4">
        <f t="shared" si="0"/>
        <v>510422</v>
      </c>
    </row>
    <row r="66" spans="1:18" x14ac:dyDescent="0.25">
      <c r="A66" s="1">
        <v>60</v>
      </c>
      <c r="B66" s="2" t="s">
        <v>119</v>
      </c>
      <c r="C66" s="2" t="s">
        <v>120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3"/>
      <c r="O66" s="3"/>
      <c r="P66" s="4">
        <f t="shared" si="0"/>
        <v>0</v>
      </c>
    </row>
    <row r="67" spans="1:18" x14ac:dyDescent="0.25">
      <c r="A67" s="1">
        <v>61</v>
      </c>
      <c r="B67" s="2" t="s">
        <v>121</v>
      </c>
      <c r="C67" s="2" t="s">
        <v>122</v>
      </c>
      <c r="D67" s="1">
        <f>750+1000+710</f>
        <v>2460</v>
      </c>
      <c r="E67" s="1">
        <f>120+160+200</f>
        <v>480</v>
      </c>
      <c r="F67" s="1">
        <f>15+5</f>
        <v>20</v>
      </c>
      <c r="G67" s="1">
        <f>3</f>
        <v>3</v>
      </c>
      <c r="H67" s="1">
        <f>35+50+85</f>
        <v>170</v>
      </c>
      <c r="I67" s="1"/>
      <c r="J67" s="1">
        <f>5+8</f>
        <v>13</v>
      </c>
      <c r="K67" s="1">
        <f>5+3+7</f>
        <v>15</v>
      </c>
      <c r="L67" s="1">
        <f>3+7</f>
        <v>10</v>
      </c>
      <c r="M67" s="1">
        <f>5+7</f>
        <v>12</v>
      </c>
      <c r="N67" s="3">
        <f>288895+398609+365407</f>
        <v>1052911</v>
      </c>
      <c r="O67" s="3">
        <f>13851+2596+21862</f>
        <v>38309</v>
      </c>
      <c r="P67" s="4">
        <f t="shared" si="0"/>
        <v>1091220</v>
      </c>
    </row>
    <row r="68" spans="1:18" x14ac:dyDescent="0.25">
      <c r="A68" s="1">
        <v>62</v>
      </c>
      <c r="B68" s="5" t="s">
        <v>123</v>
      </c>
      <c r="C68" s="2" t="s">
        <v>124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3"/>
      <c r="O68" s="3"/>
      <c r="P68" s="4">
        <f t="shared" si="0"/>
        <v>0</v>
      </c>
    </row>
    <row r="69" spans="1:18" x14ac:dyDescent="0.25">
      <c r="A69" s="1">
        <v>63</v>
      </c>
      <c r="B69" s="5" t="s">
        <v>125</v>
      </c>
      <c r="C69" s="2" t="s">
        <v>126</v>
      </c>
      <c r="D69" s="1">
        <v>180</v>
      </c>
      <c r="E69" s="1">
        <v>125</v>
      </c>
      <c r="F69" s="1"/>
      <c r="G69" s="1"/>
      <c r="H69" s="1">
        <v>45</v>
      </c>
      <c r="I69" s="1"/>
      <c r="J69" s="1">
        <v>2</v>
      </c>
      <c r="K69" s="1"/>
      <c r="L69" s="1"/>
      <c r="M69" s="1"/>
      <c r="N69" s="3">
        <v>150221</v>
      </c>
      <c r="O69" s="3">
        <v>1300</v>
      </c>
      <c r="P69" s="4">
        <f t="shared" si="0"/>
        <v>151521</v>
      </c>
    </row>
    <row r="70" spans="1:18" x14ac:dyDescent="0.25">
      <c r="A70" s="1">
        <v>64</v>
      </c>
      <c r="B70" s="2" t="s">
        <v>127</v>
      </c>
      <c r="C70" s="2" t="s">
        <v>128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3"/>
      <c r="O70" s="3"/>
      <c r="P70" s="4">
        <f t="shared" si="0"/>
        <v>0</v>
      </c>
    </row>
    <row r="71" spans="1:18" x14ac:dyDescent="0.25">
      <c r="A71" s="1">
        <v>65</v>
      </c>
      <c r="B71" s="5" t="s">
        <v>131</v>
      </c>
      <c r="C71" s="5" t="s">
        <v>132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3"/>
      <c r="O71" s="3"/>
      <c r="P71" s="4">
        <f t="shared" si="0"/>
        <v>0</v>
      </c>
    </row>
    <row r="72" spans="1:18" x14ac:dyDescent="0.25">
      <c r="A72" s="1">
        <v>66</v>
      </c>
      <c r="B72" s="2" t="s">
        <v>133</v>
      </c>
      <c r="C72" s="2" t="s">
        <v>132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3"/>
      <c r="O72" s="3"/>
      <c r="P72" s="4">
        <f t="shared" si="0"/>
        <v>0</v>
      </c>
    </row>
    <row r="73" spans="1:18" x14ac:dyDescent="0.25">
      <c r="A73" s="1">
        <v>67</v>
      </c>
      <c r="B73" s="9" t="s">
        <v>134</v>
      </c>
      <c r="C73" s="2" t="s">
        <v>135</v>
      </c>
      <c r="D73" s="1">
        <v>585</v>
      </c>
      <c r="E73" s="1">
        <v>250</v>
      </c>
      <c r="F73" s="1"/>
      <c r="G73" s="1">
        <v>75</v>
      </c>
      <c r="H73" s="1">
        <v>75</v>
      </c>
      <c r="I73" s="1"/>
      <c r="J73" s="1"/>
      <c r="K73" s="1"/>
      <c r="L73" s="1">
        <v>15</v>
      </c>
      <c r="M73" s="1">
        <v>10</v>
      </c>
      <c r="N73" s="3">
        <v>391455</v>
      </c>
      <c r="O73" s="3">
        <v>18401</v>
      </c>
      <c r="P73" s="4">
        <f t="shared" si="0"/>
        <v>409856</v>
      </c>
    </row>
    <row r="74" spans="1:18" x14ac:dyDescent="0.25">
      <c r="A74" s="1">
        <v>68</v>
      </c>
      <c r="B74" s="9" t="s">
        <v>138</v>
      </c>
      <c r="C74" s="2" t="s">
        <v>139</v>
      </c>
      <c r="D74" s="1">
        <v>520</v>
      </c>
      <c r="E74" s="1">
        <v>5</v>
      </c>
      <c r="F74" s="1"/>
      <c r="G74" s="1"/>
      <c r="H74" s="1"/>
      <c r="I74" s="1"/>
      <c r="J74" s="1"/>
      <c r="K74" s="1"/>
      <c r="L74" s="1"/>
      <c r="M74" s="1"/>
      <c r="N74" s="3">
        <f>135037+2597</f>
        <v>137634</v>
      </c>
      <c r="O74" s="3"/>
      <c r="P74" s="4">
        <f t="shared" si="0"/>
        <v>137634</v>
      </c>
    </row>
    <row r="75" spans="1:18" x14ac:dyDescent="0.25">
      <c r="A75" s="1">
        <v>69</v>
      </c>
      <c r="B75" s="9" t="s">
        <v>142</v>
      </c>
      <c r="C75" s="2" t="s">
        <v>143</v>
      </c>
      <c r="D75" s="1">
        <v>150</v>
      </c>
      <c r="E75" s="1">
        <v>30</v>
      </c>
      <c r="F75" s="1">
        <v>5</v>
      </c>
      <c r="G75" s="1"/>
      <c r="H75" s="1">
        <v>20</v>
      </c>
      <c r="I75" s="1"/>
      <c r="J75" s="1"/>
      <c r="K75" s="1"/>
      <c r="L75" s="1"/>
      <c r="M75" s="1"/>
      <c r="N75" s="3">
        <v>80539</v>
      </c>
      <c r="O75" s="3"/>
      <c r="P75" s="4">
        <f t="shared" si="0"/>
        <v>80539</v>
      </c>
    </row>
    <row r="76" spans="1:18" x14ac:dyDescent="0.25">
      <c r="A76" s="1">
        <v>70</v>
      </c>
      <c r="B76" s="5" t="s">
        <v>146</v>
      </c>
      <c r="C76" s="2" t="s">
        <v>147</v>
      </c>
      <c r="D76" s="1">
        <f>45+30+55</f>
        <v>130</v>
      </c>
      <c r="E76" s="1">
        <f>5+10+15</f>
        <v>30</v>
      </c>
      <c r="F76" s="1">
        <f>2+2+2</f>
        <v>6</v>
      </c>
      <c r="G76" s="1"/>
      <c r="H76" s="1">
        <f>5+25+18</f>
        <v>48</v>
      </c>
      <c r="I76" s="1"/>
      <c r="J76" s="1">
        <f>3+3</f>
        <v>6</v>
      </c>
      <c r="K76" s="1">
        <f>3+2+3</f>
        <v>8</v>
      </c>
      <c r="L76" s="1">
        <f>3</f>
        <v>3</v>
      </c>
      <c r="M76" s="1">
        <f>2</f>
        <v>2</v>
      </c>
      <c r="N76" s="3">
        <f>20898+37233+41573</f>
        <v>99704</v>
      </c>
      <c r="O76" s="3">
        <f>2753+7698+4766</f>
        <v>15217</v>
      </c>
      <c r="P76" s="4">
        <f t="shared" si="0"/>
        <v>114921</v>
      </c>
    </row>
    <row r="77" spans="1:18" ht="15.75" thickBot="1" x14ac:dyDescent="0.3">
      <c r="A77" s="1">
        <v>71</v>
      </c>
      <c r="B77" s="10" t="s">
        <v>148</v>
      </c>
      <c r="C77" s="11" t="s">
        <v>149</v>
      </c>
      <c r="D77" s="12">
        <v>135</v>
      </c>
      <c r="E77" s="12">
        <v>5</v>
      </c>
      <c r="F77" s="12"/>
      <c r="G77" s="12">
        <v>3</v>
      </c>
      <c r="H77" s="12">
        <v>10</v>
      </c>
      <c r="I77" s="12"/>
      <c r="J77" s="12"/>
      <c r="K77" s="12"/>
      <c r="L77" s="12"/>
      <c r="M77" s="12"/>
      <c r="N77" s="13">
        <v>50910</v>
      </c>
      <c r="O77" s="13"/>
      <c r="P77" s="4">
        <f t="shared" si="0"/>
        <v>50910</v>
      </c>
    </row>
    <row r="78" spans="1:18" ht="15.75" thickBot="1" x14ac:dyDescent="0.3">
      <c r="A78" s="39" t="s">
        <v>150</v>
      </c>
      <c r="B78" s="40"/>
      <c r="C78" s="24"/>
      <c r="D78" s="25">
        <f t="shared" ref="D78:P78" si="1">SUM(D5:D77)</f>
        <v>51613</v>
      </c>
      <c r="E78" s="25">
        <f t="shared" si="1"/>
        <v>13998</v>
      </c>
      <c r="F78" s="25">
        <f t="shared" si="1"/>
        <v>636</v>
      </c>
      <c r="G78" s="25">
        <f t="shared" si="1"/>
        <v>385</v>
      </c>
      <c r="H78" s="25">
        <f t="shared" si="1"/>
        <v>4598</v>
      </c>
      <c r="I78" s="25">
        <f t="shared" si="1"/>
        <v>265</v>
      </c>
      <c r="J78" s="25">
        <f t="shared" si="1"/>
        <v>285</v>
      </c>
      <c r="K78" s="25">
        <f t="shared" si="1"/>
        <v>215</v>
      </c>
      <c r="L78" s="25">
        <f t="shared" si="1"/>
        <v>335</v>
      </c>
      <c r="M78" s="25">
        <f t="shared" si="1"/>
        <v>348</v>
      </c>
      <c r="N78" s="26">
        <f t="shared" si="1"/>
        <v>25925089</v>
      </c>
      <c r="O78" s="26">
        <f t="shared" si="1"/>
        <v>894745</v>
      </c>
      <c r="P78" s="26">
        <f t="shared" si="1"/>
        <v>26819834</v>
      </c>
      <c r="R78" s="31"/>
    </row>
  </sheetData>
  <mergeCells count="3">
    <mergeCell ref="A1:P1"/>
    <mergeCell ref="A2:P2"/>
    <mergeCell ref="A78:B78"/>
  </mergeCells>
  <pageMargins left="0.27559055118110237" right="0.11811023622047245" top="0.15748031496062992" bottom="0.15748031496062992" header="0.15748031496062992" footer="0.15748031496062992"/>
  <pageSetup paperSize="9" scale="68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FB3-BA71-43AC-9F0A-21CBA7632E57}">
  <dimension ref="A1:P81"/>
  <sheetViews>
    <sheetView zoomScale="90" zoomScaleNormal="90" workbookViewId="0">
      <pane xSplit="3" ySplit="4" topLeftCell="D51" activePane="bottomRight" state="frozen"/>
      <selection pane="topRight" activeCell="D1" sqref="D1"/>
      <selection pane="bottomLeft" activeCell="A5" sqref="A5"/>
      <selection pane="bottomRight" activeCell="B74" sqref="B74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15.5703125" bestFit="1" customWidth="1"/>
    <col min="4" max="4" width="8.42578125" style="14" customWidth="1"/>
    <col min="5" max="5" width="9" style="14" customWidth="1"/>
    <col min="6" max="6" width="8.42578125" style="14" customWidth="1"/>
    <col min="7" max="9" width="8.7109375" style="14" customWidth="1"/>
    <col min="10" max="11" width="9" style="14" customWidth="1"/>
    <col min="12" max="12" width="8.7109375" style="14" customWidth="1"/>
    <col min="13" max="13" width="8.28515625" style="14" customWidth="1"/>
    <col min="14" max="14" width="14.140625" style="14" customWidth="1"/>
    <col min="15" max="15" width="12.5703125" style="14" customWidth="1"/>
    <col min="16" max="16" width="14.140625" bestFit="1" customWidth="1"/>
  </cols>
  <sheetData>
    <row r="1" spans="1:16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9.5" thickBot="1" x14ac:dyDescent="0.35">
      <c r="A2" s="38" t="s">
        <v>210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63.75" thickBot="1" x14ac:dyDescent="0.3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25</v>
      </c>
      <c r="O3" s="18" t="s">
        <v>26</v>
      </c>
      <c r="P3" s="19" t="s">
        <v>28</v>
      </c>
    </row>
    <row r="4" spans="1:16" ht="15.75" thickBot="1" x14ac:dyDescent="0.3">
      <c r="A4" s="20"/>
      <c r="B4" s="21"/>
      <c r="C4" s="21"/>
      <c r="D4" s="22" t="s">
        <v>29</v>
      </c>
      <c r="E4" s="22" t="s">
        <v>30</v>
      </c>
      <c r="F4" s="22" t="s">
        <v>32</v>
      </c>
      <c r="G4" s="22" t="s">
        <v>33</v>
      </c>
      <c r="H4" s="22" t="s">
        <v>34</v>
      </c>
      <c r="I4" s="22" t="s">
        <v>35</v>
      </c>
      <c r="J4" s="22" t="s">
        <v>36</v>
      </c>
      <c r="K4" s="22" t="s">
        <v>29</v>
      </c>
      <c r="L4" s="22" t="s">
        <v>36</v>
      </c>
      <c r="M4" s="22" t="s">
        <v>29</v>
      </c>
      <c r="N4" s="22"/>
      <c r="O4" s="22"/>
      <c r="P4" s="23"/>
    </row>
    <row r="5" spans="1:16" x14ac:dyDescent="0.25">
      <c r="A5" s="1">
        <v>1</v>
      </c>
      <c r="B5" s="2" t="s">
        <v>39</v>
      </c>
      <c r="C5" s="2" t="s">
        <v>40</v>
      </c>
      <c r="D5" s="1">
        <f>1200+1100+1140+800+1255</f>
        <v>5495</v>
      </c>
      <c r="E5" s="1">
        <f>150+170+200+200+195</f>
        <v>915</v>
      </c>
      <c r="F5" s="1"/>
      <c r="G5" s="1"/>
      <c r="H5" s="1">
        <f>28+20</f>
        <v>48</v>
      </c>
      <c r="I5" s="1"/>
      <c r="J5" s="1">
        <f>16+5+20</f>
        <v>41</v>
      </c>
      <c r="K5" s="1">
        <v>15</v>
      </c>
      <c r="L5" s="1">
        <f>15+10</f>
        <v>25</v>
      </c>
      <c r="M5" s="1">
        <v>10</v>
      </c>
      <c r="N5" s="3">
        <f>389529+373948+423907+328759+427183</f>
        <v>1943326</v>
      </c>
      <c r="O5" s="3">
        <f>10399+34628+6499+12999</f>
        <v>64525</v>
      </c>
      <c r="P5" s="4">
        <f>N5+O5</f>
        <v>2007851</v>
      </c>
    </row>
    <row r="6" spans="1:16" x14ac:dyDescent="0.25">
      <c r="A6" s="1">
        <v>2</v>
      </c>
      <c r="B6" s="2" t="s">
        <v>41</v>
      </c>
      <c r="C6" s="2" t="s">
        <v>42</v>
      </c>
      <c r="D6" s="1">
        <f>1370+1020+1000+1070+1814+1377+1100+768+1200</f>
        <v>10719</v>
      </c>
      <c r="E6" s="1">
        <f>50+230+250+120+150+105+50+181+50</f>
        <v>1186</v>
      </c>
      <c r="F6" s="1"/>
      <c r="G6" s="1"/>
      <c r="H6" s="1">
        <f>30+100+10+70+100+100+50</f>
        <v>460</v>
      </c>
      <c r="I6" s="1"/>
      <c r="J6" s="1">
        <v>5</v>
      </c>
      <c r="K6" s="1">
        <v>5</v>
      </c>
      <c r="L6" s="1"/>
      <c r="M6" s="1">
        <v>5</v>
      </c>
      <c r="N6" s="3">
        <f>407442+470015+398097+400165+548976+497802+311623+379125+380432</f>
        <v>3793677</v>
      </c>
      <c r="O6" s="3">
        <v>11901</v>
      </c>
      <c r="P6" s="4">
        <f t="shared" ref="P6:P80" si="0">N6+O6</f>
        <v>3805578</v>
      </c>
    </row>
    <row r="7" spans="1:16" x14ac:dyDescent="0.25">
      <c r="A7" s="1">
        <v>3</v>
      </c>
      <c r="B7" s="5" t="s">
        <v>43</v>
      </c>
      <c r="C7" s="2" t="s">
        <v>44</v>
      </c>
      <c r="D7" s="1">
        <f>1000+690</f>
        <v>1690</v>
      </c>
      <c r="E7" s="1">
        <f>50+100</f>
        <v>150</v>
      </c>
      <c r="F7" s="1"/>
      <c r="G7" s="1"/>
      <c r="H7" s="1">
        <v>60</v>
      </c>
      <c r="I7" s="1"/>
      <c r="J7" s="1">
        <f>5+8</f>
        <v>13</v>
      </c>
      <c r="K7" s="1">
        <f>7+5</f>
        <v>12</v>
      </c>
      <c r="L7" s="1">
        <f>5+8</f>
        <v>13</v>
      </c>
      <c r="M7" s="1">
        <f>7+5</f>
        <v>12</v>
      </c>
      <c r="N7" s="3">
        <f>285655+282528</f>
        <v>568183</v>
      </c>
      <c r="O7" s="3">
        <f>18612+19051</f>
        <v>37663</v>
      </c>
      <c r="P7" s="4">
        <f t="shared" si="0"/>
        <v>605846</v>
      </c>
    </row>
    <row r="8" spans="1:16" x14ac:dyDescent="0.25">
      <c r="A8" s="1">
        <v>4</v>
      </c>
      <c r="B8" s="2" t="s">
        <v>45</v>
      </c>
      <c r="C8" s="2" t="s">
        <v>46</v>
      </c>
      <c r="D8" s="1">
        <v>260</v>
      </c>
      <c r="E8" s="1">
        <v>83</v>
      </c>
      <c r="F8" s="1">
        <v>10</v>
      </c>
      <c r="G8" s="1">
        <v>40</v>
      </c>
      <c r="H8" s="1">
        <v>177</v>
      </c>
      <c r="I8" s="1"/>
      <c r="J8" s="1"/>
      <c r="K8" s="1"/>
      <c r="L8" s="1"/>
      <c r="M8" s="1"/>
      <c r="N8" s="3">
        <v>295168</v>
      </c>
      <c r="O8" s="3"/>
      <c r="P8" s="4">
        <f t="shared" si="0"/>
        <v>295168</v>
      </c>
    </row>
    <row r="9" spans="1:16" x14ac:dyDescent="0.25">
      <c r="A9" s="1">
        <v>5</v>
      </c>
      <c r="B9" s="2" t="s">
        <v>47</v>
      </c>
      <c r="C9" s="2" t="s">
        <v>48</v>
      </c>
      <c r="D9" s="1">
        <f>805+830</f>
        <v>1635</v>
      </c>
      <c r="E9" s="1">
        <f>60+60</f>
        <v>120</v>
      </c>
      <c r="F9" s="1"/>
      <c r="G9" s="1"/>
      <c r="H9" s="1">
        <f>70+60</f>
        <v>130</v>
      </c>
      <c r="I9" s="1"/>
      <c r="J9" s="1"/>
      <c r="K9" s="1"/>
      <c r="L9" s="1"/>
      <c r="M9" s="1"/>
      <c r="N9" s="3">
        <f>300186+298110</f>
        <v>598296</v>
      </c>
      <c r="O9" s="3"/>
      <c r="P9" s="4">
        <f t="shared" si="0"/>
        <v>598296</v>
      </c>
    </row>
    <row r="10" spans="1:16" x14ac:dyDescent="0.25">
      <c r="A10" s="1">
        <v>6</v>
      </c>
      <c r="B10" s="2" t="s">
        <v>199</v>
      </c>
      <c r="C10" s="2" t="s">
        <v>200</v>
      </c>
      <c r="D10" s="1">
        <v>780</v>
      </c>
      <c r="E10" s="1">
        <v>50</v>
      </c>
      <c r="F10" s="1"/>
      <c r="G10" s="1"/>
      <c r="H10" s="1">
        <v>70</v>
      </c>
      <c r="I10" s="1"/>
      <c r="J10" s="1"/>
      <c r="K10" s="1"/>
      <c r="L10" s="1"/>
      <c r="M10" s="1"/>
      <c r="N10" s="3">
        <v>288500</v>
      </c>
      <c r="O10" s="3"/>
      <c r="P10" s="4">
        <f t="shared" si="0"/>
        <v>288500</v>
      </c>
    </row>
    <row r="11" spans="1:16" x14ac:dyDescent="0.25">
      <c r="A11" s="1">
        <v>7</v>
      </c>
      <c r="B11" s="2" t="s">
        <v>49</v>
      </c>
      <c r="C11" s="2" t="s">
        <v>50</v>
      </c>
      <c r="D11" s="1">
        <v>1200</v>
      </c>
      <c r="E11" s="1">
        <v>55</v>
      </c>
      <c r="F11" s="1"/>
      <c r="G11" s="1"/>
      <c r="H11" s="1">
        <v>50</v>
      </c>
      <c r="I11" s="1"/>
      <c r="J11" s="1">
        <v>5</v>
      </c>
      <c r="K11" s="1">
        <v>5</v>
      </c>
      <c r="L11" s="1">
        <v>5</v>
      </c>
      <c r="M11" s="1">
        <v>5</v>
      </c>
      <c r="N11" s="3">
        <v>383028</v>
      </c>
      <c r="O11" s="3">
        <v>15152</v>
      </c>
      <c r="P11" s="4">
        <f t="shared" si="0"/>
        <v>398180</v>
      </c>
    </row>
    <row r="12" spans="1:16" x14ac:dyDescent="0.25">
      <c r="A12" s="1">
        <v>8</v>
      </c>
      <c r="B12" s="2" t="s">
        <v>195</v>
      </c>
      <c r="C12" s="2" t="s">
        <v>196</v>
      </c>
      <c r="D12" s="1">
        <v>810</v>
      </c>
      <c r="E12" s="1">
        <v>80</v>
      </c>
      <c r="F12" s="1">
        <v>15</v>
      </c>
      <c r="G12" s="1"/>
      <c r="H12" s="1"/>
      <c r="I12" s="1"/>
      <c r="J12" s="1">
        <v>10</v>
      </c>
      <c r="K12" s="1">
        <v>5</v>
      </c>
      <c r="L12" s="1">
        <v>10</v>
      </c>
      <c r="M12" s="1">
        <v>5</v>
      </c>
      <c r="N12" s="3">
        <v>264879</v>
      </c>
      <c r="O12" s="3">
        <v>21651</v>
      </c>
      <c r="P12" s="4">
        <f t="shared" si="0"/>
        <v>286530</v>
      </c>
    </row>
    <row r="13" spans="1:16" x14ac:dyDescent="0.25">
      <c r="A13" s="1">
        <v>9</v>
      </c>
      <c r="B13" s="6" t="s">
        <v>53</v>
      </c>
      <c r="C13" s="2" t="s">
        <v>54</v>
      </c>
      <c r="D13" s="1">
        <f>540+880+800</f>
        <v>2220</v>
      </c>
      <c r="E13" s="1">
        <f>250+200+270</f>
        <v>720</v>
      </c>
      <c r="F13" s="1"/>
      <c r="G13" s="1"/>
      <c r="H13" s="1">
        <f>35+20+30</f>
        <v>85</v>
      </c>
      <c r="I13" s="1"/>
      <c r="J13" s="1">
        <v>5</v>
      </c>
      <c r="K13" s="1"/>
      <c r="L13" s="1">
        <v>5</v>
      </c>
      <c r="M13" s="1"/>
      <c r="N13" s="3">
        <f>300061+349534+373683</f>
        <v>1023278</v>
      </c>
      <c r="O13" s="3">
        <v>6500</v>
      </c>
      <c r="P13" s="4">
        <f t="shared" si="0"/>
        <v>1029778</v>
      </c>
    </row>
    <row r="14" spans="1:16" x14ac:dyDescent="0.25">
      <c r="A14" s="1">
        <v>10</v>
      </c>
      <c r="B14" s="6" t="s">
        <v>203</v>
      </c>
      <c r="C14" s="2" t="s">
        <v>204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3"/>
      <c r="O14" s="3"/>
      <c r="P14" s="4">
        <f t="shared" si="0"/>
        <v>0</v>
      </c>
    </row>
    <row r="15" spans="1:16" x14ac:dyDescent="0.25">
      <c r="A15" s="1">
        <v>11</v>
      </c>
      <c r="B15" s="2" t="s">
        <v>55</v>
      </c>
      <c r="C15" s="2" t="s">
        <v>56</v>
      </c>
      <c r="D15" s="1">
        <v>640</v>
      </c>
      <c r="E15" s="1">
        <v>140</v>
      </c>
      <c r="F15" s="1">
        <v>20</v>
      </c>
      <c r="G15" s="1"/>
      <c r="H15" s="1">
        <v>50</v>
      </c>
      <c r="I15" s="1"/>
      <c r="J15" s="1"/>
      <c r="K15" s="1"/>
      <c r="L15" s="1"/>
      <c r="M15" s="1"/>
      <c r="N15" s="3">
        <v>299064</v>
      </c>
      <c r="O15" s="3"/>
      <c r="P15" s="4">
        <f t="shared" si="0"/>
        <v>299064</v>
      </c>
    </row>
    <row r="16" spans="1:16" x14ac:dyDescent="0.25">
      <c r="A16" s="1">
        <v>12</v>
      </c>
      <c r="B16" s="2" t="s">
        <v>160</v>
      </c>
      <c r="C16" s="2" t="s">
        <v>161</v>
      </c>
      <c r="D16" s="1">
        <v>600</v>
      </c>
      <c r="E16" s="1">
        <v>330</v>
      </c>
      <c r="F16" s="1"/>
      <c r="G16" s="1"/>
      <c r="H16" s="1">
        <v>50</v>
      </c>
      <c r="I16" s="1"/>
      <c r="J16" s="1">
        <v>6</v>
      </c>
      <c r="K16" s="1">
        <v>11</v>
      </c>
      <c r="L16" s="1">
        <v>6</v>
      </c>
      <c r="M16" s="1">
        <v>11</v>
      </c>
      <c r="N16" s="3">
        <v>370045</v>
      </c>
      <c r="O16" s="3">
        <v>26833</v>
      </c>
      <c r="P16" s="4">
        <f t="shared" si="0"/>
        <v>396878</v>
      </c>
    </row>
    <row r="17" spans="1:16" x14ac:dyDescent="0.25">
      <c r="A17" s="1">
        <v>13</v>
      </c>
      <c r="B17" s="2" t="s">
        <v>59</v>
      </c>
      <c r="C17" s="2" t="s">
        <v>60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3"/>
      <c r="O17" s="3"/>
      <c r="P17" s="4">
        <f t="shared" si="0"/>
        <v>0</v>
      </c>
    </row>
    <row r="18" spans="1:16" x14ac:dyDescent="0.25">
      <c r="A18" s="1">
        <v>14</v>
      </c>
      <c r="B18" s="2" t="s">
        <v>61</v>
      </c>
      <c r="C18" s="2" t="s">
        <v>62</v>
      </c>
      <c r="D18" s="1">
        <f>700+634</f>
        <v>1334</v>
      </c>
      <c r="E18" s="1">
        <f>225+185</f>
        <v>410</v>
      </c>
      <c r="F18" s="1">
        <v>5</v>
      </c>
      <c r="G18" s="1">
        <v>10</v>
      </c>
      <c r="H18" s="1">
        <f>225+100</f>
        <v>325</v>
      </c>
      <c r="I18" s="1"/>
      <c r="J18" s="1">
        <v>5</v>
      </c>
      <c r="K18" s="1"/>
      <c r="L18" s="1">
        <v>5</v>
      </c>
      <c r="M18" s="1"/>
      <c r="N18" s="3">
        <f>491419+356791</f>
        <v>848210</v>
      </c>
      <c r="O18" s="3">
        <v>6499</v>
      </c>
      <c r="P18" s="4">
        <f t="shared" si="0"/>
        <v>854709</v>
      </c>
    </row>
    <row r="19" spans="1:16" x14ac:dyDescent="0.25">
      <c r="A19" s="1">
        <v>15</v>
      </c>
      <c r="B19" s="2" t="s">
        <v>63</v>
      </c>
      <c r="C19" s="2" t="s">
        <v>64</v>
      </c>
      <c r="D19" s="1">
        <f>860+850</f>
        <v>1710</v>
      </c>
      <c r="E19" s="1">
        <f>100+90</f>
        <v>190</v>
      </c>
      <c r="F19" s="1">
        <v>10</v>
      </c>
      <c r="G19" s="1"/>
      <c r="H19" s="1"/>
      <c r="I19" s="1"/>
      <c r="J19" s="1">
        <f>14+10</f>
        <v>24</v>
      </c>
      <c r="K19" s="1">
        <v>10</v>
      </c>
      <c r="L19" s="1">
        <f>15+10</f>
        <v>25</v>
      </c>
      <c r="M19" s="1">
        <v>10</v>
      </c>
      <c r="N19" s="3">
        <f>275268+276133</f>
        <v>551401</v>
      </c>
      <c r="O19" s="3">
        <f>18848+30302</f>
        <v>49150</v>
      </c>
      <c r="P19" s="4">
        <f t="shared" si="0"/>
        <v>600551</v>
      </c>
    </row>
    <row r="20" spans="1:16" x14ac:dyDescent="0.25">
      <c r="A20" s="1">
        <v>16</v>
      </c>
      <c r="B20" s="6" t="s">
        <v>65</v>
      </c>
      <c r="C20" s="2" t="s">
        <v>66</v>
      </c>
      <c r="D20" s="1">
        <f>830+850+1000</f>
        <v>2680</v>
      </c>
      <c r="E20" s="1">
        <f>150+300+50+200</f>
        <v>700</v>
      </c>
      <c r="F20" s="1">
        <f>20</f>
        <v>20</v>
      </c>
      <c r="G20" s="1"/>
      <c r="H20" s="1">
        <f>100+50</f>
        <v>150</v>
      </c>
      <c r="I20" s="1"/>
      <c r="J20" s="1">
        <f>5</f>
        <v>5</v>
      </c>
      <c r="K20" s="1"/>
      <c r="L20" s="1"/>
      <c r="M20" s="1"/>
      <c r="N20" s="3">
        <f>394340+393857+406400</f>
        <v>1194597</v>
      </c>
      <c r="O20" s="3">
        <f>3249</f>
        <v>3249</v>
      </c>
      <c r="P20" s="4">
        <f t="shared" si="0"/>
        <v>1197846</v>
      </c>
    </row>
    <row r="21" spans="1:16" x14ac:dyDescent="0.25">
      <c r="A21" s="1">
        <v>17</v>
      </c>
      <c r="B21" s="6" t="s">
        <v>67</v>
      </c>
      <c r="C21" s="2" t="s">
        <v>68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3"/>
      <c r="O21" s="3"/>
      <c r="P21" s="4">
        <f t="shared" si="0"/>
        <v>0</v>
      </c>
    </row>
    <row r="22" spans="1:16" x14ac:dyDescent="0.25">
      <c r="A22" s="1"/>
      <c r="B22" s="30" t="s">
        <v>69</v>
      </c>
      <c r="C22" s="28" t="s">
        <v>70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3"/>
      <c r="O22" s="3"/>
      <c r="P22" s="4">
        <f t="shared" si="0"/>
        <v>0</v>
      </c>
    </row>
    <row r="23" spans="1:16" x14ac:dyDescent="0.25">
      <c r="A23" s="1">
        <v>18</v>
      </c>
      <c r="B23" s="6" t="s">
        <v>178</v>
      </c>
      <c r="C23" s="2" t="s">
        <v>70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3"/>
      <c r="P23" s="4">
        <f t="shared" si="0"/>
        <v>0</v>
      </c>
    </row>
    <row r="24" spans="1:16" x14ac:dyDescent="0.25">
      <c r="A24" s="1"/>
      <c r="B24" s="30" t="s">
        <v>164</v>
      </c>
      <c r="C24" s="28" t="s">
        <v>165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  <c r="O24" s="3"/>
      <c r="P24" s="4">
        <f t="shared" si="0"/>
        <v>0</v>
      </c>
    </row>
    <row r="25" spans="1:16" x14ac:dyDescent="0.25">
      <c r="A25" s="1">
        <v>19</v>
      </c>
      <c r="B25" s="6" t="s">
        <v>194</v>
      </c>
      <c r="C25" s="2" t="s">
        <v>172</v>
      </c>
      <c r="D25" s="1">
        <f>300</f>
        <v>300</v>
      </c>
      <c r="E25" s="1">
        <f>300</f>
        <v>300</v>
      </c>
      <c r="F25" s="1">
        <f>50</f>
        <v>50</v>
      </c>
      <c r="G25" s="1"/>
      <c r="H25" s="1"/>
      <c r="I25" s="1"/>
      <c r="J25" s="1">
        <f>5</f>
        <v>5</v>
      </c>
      <c r="K25" s="1"/>
      <c r="L25" s="1">
        <f>5</f>
        <v>5</v>
      </c>
      <c r="M25" s="1"/>
      <c r="N25" s="3">
        <f>276998</f>
        <v>276998</v>
      </c>
      <c r="O25" s="3">
        <f>6500</f>
        <v>6500</v>
      </c>
      <c r="P25" s="4">
        <f t="shared" si="0"/>
        <v>283498</v>
      </c>
    </row>
    <row r="26" spans="1:16" x14ac:dyDescent="0.25">
      <c r="A26" s="1">
        <v>20</v>
      </c>
      <c r="B26" s="6" t="s">
        <v>191</v>
      </c>
      <c r="C26" s="2" t="s">
        <v>192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3"/>
      <c r="O26" s="3"/>
      <c r="P26" s="4">
        <f t="shared" si="0"/>
        <v>0</v>
      </c>
    </row>
    <row r="27" spans="1:16" x14ac:dyDescent="0.25">
      <c r="A27" s="1">
        <v>21</v>
      </c>
      <c r="B27" s="2" t="s">
        <v>71</v>
      </c>
      <c r="C27" s="2" t="s">
        <v>72</v>
      </c>
      <c r="D27" s="1">
        <f>600+700</f>
        <v>1300</v>
      </c>
      <c r="E27" s="1">
        <f>180+330</f>
        <v>510</v>
      </c>
      <c r="F27" s="1">
        <f>20+80</f>
        <v>100</v>
      </c>
      <c r="G27" s="1">
        <f>25+74</f>
        <v>99</v>
      </c>
      <c r="H27" s="1">
        <f>35+110</f>
        <v>145</v>
      </c>
      <c r="I27" s="1"/>
      <c r="J27" s="1"/>
      <c r="K27" s="1"/>
      <c r="L27" s="1"/>
      <c r="M27" s="1"/>
      <c r="N27" s="3">
        <f>301198+543536</f>
        <v>844734</v>
      </c>
      <c r="O27" s="3"/>
      <c r="P27" s="4">
        <f t="shared" si="0"/>
        <v>844734</v>
      </c>
    </row>
    <row r="28" spans="1:16" x14ac:dyDescent="0.25">
      <c r="A28" s="1">
        <v>22</v>
      </c>
      <c r="B28" s="2" t="s">
        <v>73</v>
      </c>
      <c r="C28" s="2" t="s">
        <v>74</v>
      </c>
      <c r="D28" s="1">
        <f>615</f>
        <v>615</v>
      </c>
      <c r="E28" s="1">
        <f>130</f>
        <v>130</v>
      </c>
      <c r="F28" s="1"/>
      <c r="G28" s="1"/>
      <c r="H28" s="1">
        <f>30</f>
        <v>30</v>
      </c>
      <c r="I28" s="1"/>
      <c r="J28" s="1">
        <f>5</f>
        <v>5</v>
      </c>
      <c r="K28" s="1">
        <f>5</f>
        <v>5</v>
      </c>
      <c r="L28" s="1">
        <f>5</f>
        <v>5</v>
      </c>
      <c r="M28" s="1">
        <f>5</f>
        <v>5</v>
      </c>
      <c r="N28" s="3">
        <f>252929</f>
        <v>252929</v>
      </c>
      <c r="O28" s="3">
        <f>15151</f>
        <v>15151</v>
      </c>
      <c r="P28" s="4">
        <f t="shared" si="0"/>
        <v>268080</v>
      </c>
    </row>
    <row r="29" spans="1:16" x14ac:dyDescent="0.25">
      <c r="A29" s="1">
        <v>23</v>
      </c>
      <c r="B29" s="2" t="s">
        <v>75</v>
      </c>
      <c r="C29" s="2" t="s">
        <v>76</v>
      </c>
      <c r="D29" s="7">
        <v>1500</v>
      </c>
      <c r="E29" s="7">
        <v>125</v>
      </c>
      <c r="F29" s="7"/>
      <c r="G29" s="7">
        <v>40</v>
      </c>
      <c r="H29" s="7">
        <v>40</v>
      </c>
      <c r="I29" s="7"/>
      <c r="J29" s="7"/>
      <c r="K29" s="7"/>
      <c r="L29" s="7"/>
      <c r="M29" s="7"/>
      <c r="N29" s="8">
        <v>512955</v>
      </c>
      <c r="O29" s="8"/>
      <c r="P29" s="4">
        <f t="shared" si="0"/>
        <v>512955</v>
      </c>
    </row>
    <row r="30" spans="1:16" x14ac:dyDescent="0.25">
      <c r="A30" s="1">
        <v>24</v>
      </c>
      <c r="B30" s="2" t="s">
        <v>181</v>
      </c>
      <c r="C30" s="2" t="s">
        <v>182</v>
      </c>
      <c r="D30" s="7">
        <f>185</f>
        <v>185</v>
      </c>
      <c r="E30" s="7">
        <f>240</f>
        <v>240</v>
      </c>
      <c r="F30" s="7">
        <f>95</f>
        <v>95</v>
      </c>
      <c r="G30" s="7">
        <f>50</f>
        <v>50</v>
      </c>
      <c r="H30" s="7">
        <f>30</f>
        <v>30</v>
      </c>
      <c r="I30" s="7"/>
      <c r="J30" s="7"/>
      <c r="K30" s="7"/>
      <c r="L30" s="7"/>
      <c r="M30" s="7"/>
      <c r="N30" s="8">
        <v>310919</v>
      </c>
      <c r="O30" s="8"/>
      <c r="P30" s="4">
        <f t="shared" si="0"/>
        <v>310919</v>
      </c>
    </row>
    <row r="31" spans="1:16" x14ac:dyDescent="0.25">
      <c r="A31" s="1">
        <v>25</v>
      </c>
      <c r="B31" s="2" t="s">
        <v>79</v>
      </c>
      <c r="C31" s="2" t="s">
        <v>80</v>
      </c>
      <c r="D31" s="7">
        <v>600</v>
      </c>
      <c r="E31" s="7">
        <v>50</v>
      </c>
      <c r="F31" s="7">
        <v>50</v>
      </c>
      <c r="G31" s="7"/>
      <c r="H31" s="7">
        <v>50</v>
      </c>
      <c r="I31" s="7"/>
      <c r="J31" s="7">
        <v>20</v>
      </c>
      <c r="K31" s="7">
        <v>4</v>
      </c>
      <c r="L31" s="7">
        <v>20</v>
      </c>
      <c r="M31" s="7"/>
      <c r="N31" s="8">
        <v>267902</v>
      </c>
      <c r="O31" s="8">
        <v>29458</v>
      </c>
      <c r="P31" s="4">
        <f t="shared" si="0"/>
        <v>297360</v>
      </c>
    </row>
    <row r="32" spans="1:16" x14ac:dyDescent="0.25">
      <c r="A32" s="1">
        <v>26</v>
      </c>
      <c r="B32" s="2" t="s">
        <v>193</v>
      </c>
      <c r="C32" s="2" t="s">
        <v>80</v>
      </c>
      <c r="D32" s="7">
        <v>600</v>
      </c>
      <c r="E32" s="7">
        <v>280</v>
      </c>
      <c r="F32" s="7"/>
      <c r="G32" s="7"/>
      <c r="H32" s="7"/>
      <c r="I32" s="7"/>
      <c r="J32" s="7"/>
      <c r="K32" s="7"/>
      <c r="L32" s="7"/>
      <c r="M32" s="7"/>
      <c r="N32" s="8">
        <v>301236</v>
      </c>
      <c r="O32" s="8"/>
      <c r="P32" s="4">
        <f t="shared" si="0"/>
        <v>301236</v>
      </c>
    </row>
    <row r="33" spans="1:16" x14ac:dyDescent="0.25">
      <c r="A33" s="1">
        <v>27</v>
      </c>
      <c r="B33" s="2" t="s">
        <v>81</v>
      </c>
      <c r="C33" s="2" t="s">
        <v>82</v>
      </c>
      <c r="D33" s="1">
        <f>675+660+675+670+675</f>
        <v>3355</v>
      </c>
      <c r="E33" s="1">
        <f>200+120+200+180+200</f>
        <v>900</v>
      </c>
      <c r="F33" s="1"/>
      <c r="G33" s="1">
        <f>20</f>
        <v>20</v>
      </c>
      <c r="H33" s="1">
        <f>25+50+25+25+25</f>
        <v>150</v>
      </c>
      <c r="I33" s="1"/>
      <c r="J33" s="1"/>
      <c r="K33" s="1"/>
      <c r="L33" s="1"/>
      <c r="M33" s="1"/>
      <c r="N33" s="3">
        <f>300582+288674+300582+288897+300582</f>
        <v>1479317</v>
      </c>
      <c r="O33" s="3"/>
      <c r="P33" s="4">
        <f t="shared" si="0"/>
        <v>1479317</v>
      </c>
    </row>
    <row r="34" spans="1:16" x14ac:dyDescent="0.25">
      <c r="A34" s="1">
        <v>28</v>
      </c>
      <c r="B34" s="2" t="s">
        <v>183</v>
      </c>
      <c r="C34" s="2" t="s">
        <v>184</v>
      </c>
      <c r="D34" s="1">
        <f>600+570</f>
        <v>1170</v>
      </c>
      <c r="E34" s="1">
        <f>110+150</f>
        <v>260</v>
      </c>
      <c r="F34" s="1">
        <f>30+30</f>
        <v>60</v>
      </c>
      <c r="G34" s="1"/>
      <c r="H34" s="1">
        <f>70+50</f>
        <v>120</v>
      </c>
      <c r="I34" s="1"/>
      <c r="J34" s="1">
        <v>2</v>
      </c>
      <c r="K34" s="1">
        <v>2</v>
      </c>
      <c r="L34" s="1">
        <v>2</v>
      </c>
      <c r="M34" s="1">
        <v>2</v>
      </c>
      <c r="N34" s="3">
        <f>298887+294735</f>
        <v>593622</v>
      </c>
      <c r="O34" s="3">
        <v>6061</v>
      </c>
      <c r="P34" s="4">
        <f t="shared" si="0"/>
        <v>599683</v>
      </c>
    </row>
    <row r="35" spans="1:16" x14ac:dyDescent="0.25">
      <c r="A35" s="1">
        <v>29</v>
      </c>
      <c r="B35" s="2" t="s">
        <v>205</v>
      </c>
      <c r="C35" s="2" t="s">
        <v>157</v>
      </c>
      <c r="D35" s="1">
        <f>700+650+700</f>
        <v>2050</v>
      </c>
      <c r="E35" s="1">
        <f>100+120+130</f>
        <v>350</v>
      </c>
      <c r="F35" s="1">
        <f>50+30+30</f>
        <v>110</v>
      </c>
      <c r="G35" s="1"/>
      <c r="H35" s="1">
        <f>100+100+100</f>
        <v>300</v>
      </c>
      <c r="I35" s="1"/>
      <c r="J35" s="1">
        <f>25+20+20</f>
        <v>65</v>
      </c>
      <c r="K35" s="1"/>
      <c r="L35" s="1">
        <f>25+20+20</f>
        <v>65</v>
      </c>
      <c r="M35" s="1"/>
      <c r="N35" s="3">
        <f>351798+332486+350119</f>
        <v>1034403</v>
      </c>
      <c r="O35" s="3">
        <f>31522+25218+25218</f>
        <v>81958</v>
      </c>
      <c r="P35" s="4">
        <f t="shared" si="0"/>
        <v>1116361</v>
      </c>
    </row>
    <row r="36" spans="1:16" x14ac:dyDescent="0.25">
      <c r="A36" s="1">
        <v>30</v>
      </c>
      <c r="B36" s="2" t="s">
        <v>218</v>
      </c>
      <c r="C36" s="2" t="s">
        <v>219</v>
      </c>
      <c r="D36" s="1">
        <v>560</v>
      </c>
      <c r="E36" s="1">
        <v>100</v>
      </c>
      <c r="F36" s="1">
        <v>30</v>
      </c>
      <c r="G36" s="1"/>
      <c r="H36" s="1">
        <v>120</v>
      </c>
      <c r="I36" s="1"/>
      <c r="J36" s="1">
        <v>20</v>
      </c>
      <c r="K36" s="1"/>
      <c r="L36" s="1">
        <v>20</v>
      </c>
      <c r="M36" s="1"/>
      <c r="N36" s="3">
        <v>326146</v>
      </c>
      <c r="O36" s="3">
        <v>25998</v>
      </c>
      <c r="P36" s="4">
        <f t="shared" si="0"/>
        <v>352144</v>
      </c>
    </row>
    <row r="37" spans="1:16" x14ac:dyDescent="0.25">
      <c r="A37" s="1"/>
      <c r="B37" s="28" t="s">
        <v>186</v>
      </c>
      <c r="C37" s="28" t="s">
        <v>187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  <c r="O37" s="3"/>
      <c r="P37" s="4">
        <f t="shared" si="0"/>
        <v>0</v>
      </c>
    </row>
    <row r="38" spans="1:16" x14ac:dyDescent="0.25">
      <c r="A38" s="1">
        <v>31</v>
      </c>
      <c r="B38" s="2" t="s">
        <v>197</v>
      </c>
      <c r="C38" s="2" t="s">
        <v>198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3"/>
      <c r="O38" s="3"/>
      <c r="P38" s="4">
        <f t="shared" si="0"/>
        <v>0</v>
      </c>
    </row>
    <row r="39" spans="1:16" x14ac:dyDescent="0.25">
      <c r="A39" s="1">
        <v>32</v>
      </c>
      <c r="B39" s="2" t="s">
        <v>206</v>
      </c>
      <c r="C39" s="2" t="s">
        <v>207</v>
      </c>
      <c r="D39" s="1">
        <v>300</v>
      </c>
      <c r="E39" s="1">
        <v>40</v>
      </c>
      <c r="F39" s="1"/>
      <c r="G39" s="1"/>
      <c r="H39" s="1">
        <v>40</v>
      </c>
      <c r="I39" s="1"/>
      <c r="J39" s="1"/>
      <c r="K39" s="1"/>
      <c r="L39" s="1"/>
      <c r="M39" s="1"/>
      <c r="N39" s="3">
        <v>132953</v>
      </c>
      <c r="O39" s="3"/>
      <c r="P39" s="4">
        <f t="shared" si="0"/>
        <v>132953</v>
      </c>
    </row>
    <row r="40" spans="1:16" x14ac:dyDescent="0.25">
      <c r="A40" s="1">
        <v>33</v>
      </c>
      <c r="B40" s="2" t="s">
        <v>209</v>
      </c>
      <c r="C40" s="2" t="s">
        <v>208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3"/>
      <c r="O40" s="3"/>
      <c r="P40" s="4">
        <f t="shared" si="0"/>
        <v>0</v>
      </c>
    </row>
    <row r="41" spans="1:16" x14ac:dyDescent="0.25">
      <c r="A41" s="1">
        <v>34</v>
      </c>
      <c r="B41" s="2" t="s">
        <v>216</v>
      </c>
      <c r="C41" s="2" t="s">
        <v>217</v>
      </c>
      <c r="D41" s="1">
        <f>550+740</f>
        <v>1290</v>
      </c>
      <c r="E41" s="1">
        <v>70</v>
      </c>
      <c r="F41" s="1">
        <f>30+50</f>
        <v>80</v>
      </c>
      <c r="G41" s="1"/>
      <c r="H41" s="1">
        <f>150+100</f>
        <v>250</v>
      </c>
      <c r="I41" s="1"/>
      <c r="J41" s="1">
        <v>5</v>
      </c>
      <c r="K41" s="1"/>
      <c r="L41" s="1">
        <v>5</v>
      </c>
      <c r="M41" s="1"/>
      <c r="N41" s="3">
        <f>333672+321129</f>
        <v>654801</v>
      </c>
      <c r="O41" s="3">
        <v>6499</v>
      </c>
      <c r="P41" s="4">
        <f t="shared" si="0"/>
        <v>661300</v>
      </c>
    </row>
    <row r="42" spans="1:16" x14ac:dyDescent="0.25">
      <c r="A42" s="1">
        <v>35</v>
      </c>
      <c r="B42" s="2" t="s">
        <v>162</v>
      </c>
      <c r="C42" s="2" t="s">
        <v>163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3"/>
      <c r="P42" s="4">
        <f t="shared" si="0"/>
        <v>0</v>
      </c>
    </row>
    <row r="43" spans="1:16" x14ac:dyDescent="0.25">
      <c r="A43" s="1">
        <v>36</v>
      </c>
      <c r="B43" s="2" t="s">
        <v>188</v>
      </c>
      <c r="C43" s="2" t="s">
        <v>189</v>
      </c>
      <c r="D43" s="1">
        <f>130</f>
        <v>130</v>
      </c>
      <c r="E43" s="1">
        <f>100</f>
        <v>100</v>
      </c>
      <c r="F43" s="1">
        <f>25</f>
        <v>25</v>
      </c>
      <c r="G43" s="1"/>
      <c r="H43" s="1">
        <f>300</f>
        <v>300</v>
      </c>
      <c r="I43" s="1">
        <f>10</f>
        <v>10</v>
      </c>
      <c r="J43" s="1"/>
      <c r="K43" s="1">
        <f>10</f>
        <v>10</v>
      </c>
      <c r="L43" s="1">
        <f>26</f>
        <v>26</v>
      </c>
      <c r="M43" s="1"/>
      <c r="N43" s="3">
        <f>379906</f>
        <v>379906</v>
      </c>
      <c r="O43" s="3">
        <f>25982</f>
        <v>25982</v>
      </c>
      <c r="P43" s="4">
        <f t="shared" si="0"/>
        <v>405888</v>
      </c>
    </row>
    <row r="44" spans="1:16" x14ac:dyDescent="0.25">
      <c r="A44" s="1"/>
      <c r="B44" s="28" t="s">
        <v>83</v>
      </c>
      <c r="C44" s="28" t="s">
        <v>84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  <c r="O44" s="3"/>
      <c r="P44" s="4">
        <f t="shared" si="0"/>
        <v>0</v>
      </c>
    </row>
    <row r="45" spans="1:16" x14ac:dyDescent="0.25">
      <c r="A45" s="1">
        <v>37</v>
      </c>
      <c r="B45" s="2" t="s">
        <v>177</v>
      </c>
      <c r="C45" s="2" t="s">
        <v>84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  <c r="O45" s="3"/>
      <c r="P45" s="4">
        <f t="shared" si="0"/>
        <v>0</v>
      </c>
    </row>
    <row r="46" spans="1:16" x14ac:dyDescent="0.25">
      <c r="A46" s="1">
        <v>38</v>
      </c>
      <c r="B46" s="2" t="s">
        <v>213</v>
      </c>
      <c r="C46" s="2" t="s">
        <v>84</v>
      </c>
      <c r="D46" s="1">
        <v>600</v>
      </c>
      <c r="E46" s="1">
        <v>1350</v>
      </c>
      <c r="F46" s="1"/>
      <c r="G46" s="1"/>
      <c r="H46" s="1">
        <v>30</v>
      </c>
      <c r="I46" s="1">
        <v>50</v>
      </c>
      <c r="J46" s="1"/>
      <c r="K46" s="1"/>
      <c r="L46" s="1"/>
      <c r="M46" s="1"/>
      <c r="N46" s="3">
        <v>995661</v>
      </c>
      <c r="O46" s="3"/>
      <c r="P46" s="4">
        <f t="shared" si="0"/>
        <v>995661</v>
      </c>
    </row>
    <row r="47" spans="1:16" x14ac:dyDescent="0.25">
      <c r="A47" s="1">
        <v>39</v>
      </c>
      <c r="B47" s="2" t="s">
        <v>85</v>
      </c>
      <c r="C47" s="2" t="s">
        <v>86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3"/>
      <c r="O47" s="3"/>
      <c r="P47" s="4">
        <f t="shared" si="0"/>
        <v>0</v>
      </c>
    </row>
    <row r="48" spans="1:16" x14ac:dyDescent="0.25">
      <c r="A48" s="1">
        <v>40</v>
      </c>
      <c r="B48" s="2" t="s">
        <v>87</v>
      </c>
      <c r="C48" s="2" t="s">
        <v>88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  <c r="O48" s="3"/>
      <c r="P48" s="4">
        <f t="shared" si="0"/>
        <v>0</v>
      </c>
    </row>
    <row r="49" spans="1:16" x14ac:dyDescent="0.25">
      <c r="A49" s="1">
        <v>41</v>
      </c>
      <c r="B49" s="2" t="s">
        <v>89</v>
      </c>
      <c r="C49" s="2" t="s">
        <v>90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  <c r="O49" s="3"/>
      <c r="P49" s="4">
        <f t="shared" si="0"/>
        <v>0</v>
      </c>
    </row>
    <row r="50" spans="1:16" x14ac:dyDescent="0.25">
      <c r="A50" s="1">
        <v>42</v>
      </c>
      <c r="B50" s="2" t="s">
        <v>91</v>
      </c>
      <c r="C50" s="2" t="s">
        <v>92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3"/>
      <c r="O50" s="3"/>
      <c r="P50" s="4">
        <f t="shared" si="0"/>
        <v>0</v>
      </c>
    </row>
    <row r="51" spans="1:16" x14ac:dyDescent="0.25">
      <c r="A51" s="1">
        <v>43</v>
      </c>
      <c r="B51" s="2" t="s">
        <v>93</v>
      </c>
      <c r="C51" s="2" t="s">
        <v>94</v>
      </c>
      <c r="D51" s="1">
        <v>700</v>
      </c>
      <c r="E51" s="1">
        <v>350</v>
      </c>
      <c r="F51" s="1"/>
      <c r="G51" s="1"/>
      <c r="H51" s="1">
        <v>30</v>
      </c>
      <c r="I51" s="1"/>
      <c r="J51" s="1">
        <v>30</v>
      </c>
      <c r="K51" s="1"/>
      <c r="L51" s="1">
        <v>30</v>
      </c>
      <c r="M51" s="1"/>
      <c r="N51" s="3">
        <v>469155</v>
      </c>
      <c r="O51" s="3">
        <v>40271</v>
      </c>
      <c r="P51" s="4">
        <f t="shared" si="0"/>
        <v>509426</v>
      </c>
    </row>
    <row r="52" spans="1:16" x14ac:dyDescent="0.25">
      <c r="A52" s="1">
        <v>44</v>
      </c>
      <c r="B52" s="2" t="s">
        <v>95</v>
      </c>
      <c r="C52" s="2" t="s">
        <v>96</v>
      </c>
      <c r="D52" s="1">
        <v>500</v>
      </c>
      <c r="E52" s="1">
        <v>300</v>
      </c>
      <c r="F52" s="1"/>
      <c r="G52" s="1"/>
      <c r="H52" s="1"/>
      <c r="I52" s="1"/>
      <c r="J52" s="1"/>
      <c r="K52" s="1"/>
      <c r="L52" s="1"/>
      <c r="M52" s="1"/>
      <c r="N52" s="3">
        <v>343300</v>
      </c>
      <c r="O52" s="3"/>
      <c r="P52" s="4">
        <f t="shared" si="0"/>
        <v>343300</v>
      </c>
    </row>
    <row r="53" spans="1:16" x14ac:dyDescent="0.25">
      <c r="A53" s="1">
        <v>45</v>
      </c>
      <c r="B53" s="2" t="s">
        <v>97</v>
      </c>
      <c r="C53" s="2" t="s">
        <v>98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3"/>
      <c r="O53" s="3"/>
      <c r="P53" s="4">
        <f t="shared" si="0"/>
        <v>0</v>
      </c>
    </row>
    <row r="54" spans="1:16" x14ac:dyDescent="0.25">
      <c r="A54" s="1">
        <v>46</v>
      </c>
      <c r="B54" s="2" t="s">
        <v>99</v>
      </c>
      <c r="C54" s="2" t="s">
        <v>100</v>
      </c>
      <c r="D54" s="1">
        <v>700</v>
      </c>
      <c r="E54" s="1">
        <v>1275</v>
      </c>
      <c r="F54" s="1"/>
      <c r="G54" s="1"/>
      <c r="H54" s="1"/>
      <c r="I54" s="1"/>
      <c r="J54" s="1"/>
      <c r="K54" s="1"/>
      <c r="L54" s="1"/>
      <c r="M54" s="1"/>
      <c r="N54" s="3">
        <v>944074</v>
      </c>
      <c r="O54" s="3"/>
      <c r="P54" s="4">
        <f t="shared" si="0"/>
        <v>944074</v>
      </c>
    </row>
    <row r="55" spans="1:16" x14ac:dyDescent="0.25">
      <c r="A55" s="1">
        <v>47</v>
      </c>
      <c r="B55" s="2" t="s">
        <v>101</v>
      </c>
      <c r="C55" s="2" t="s">
        <v>102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3"/>
      <c r="O55" s="3"/>
      <c r="P55" s="4">
        <f t="shared" si="0"/>
        <v>0</v>
      </c>
    </row>
    <row r="56" spans="1:16" x14ac:dyDescent="0.25">
      <c r="A56" s="1">
        <v>48</v>
      </c>
      <c r="B56" s="2" t="s">
        <v>103</v>
      </c>
      <c r="C56" s="2" t="s">
        <v>104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3"/>
      <c r="O56" s="3"/>
      <c r="P56" s="4">
        <f t="shared" si="0"/>
        <v>0</v>
      </c>
    </row>
    <row r="57" spans="1:16" x14ac:dyDescent="0.25">
      <c r="A57" s="1">
        <v>49</v>
      </c>
      <c r="B57" s="2" t="s">
        <v>201</v>
      </c>
      <c r="C57" s="2" t="s">
        <v>202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3"/>
      <c r="O57" s="3"/>
      <c r="P57" s="4">
        <f t="shared" si="0"/>
        <v>0</v>
      </c>
    </row>
    <row r="58" spans="1:16" x14ac:dyDescent="0.25">
      <c r="A58" s="1">
        <v>50</v>
      </c>
      <c r="B58" s="2" t="s">
        <v>169</v>
      </c>
      <c r="C58" s="2" t="s">
        <v>170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  <c r="O58" s="3"/>
      <c r="P58" s="4">
        <f t="shared" si="0"/>
        <v>0</v>
      </c>
    </row>
    <row r="59" spans="1:16" x14ac:dyDescent="0.25">
      <c r="A59" s="1">
        <v>51</v>
      </c>
      <c r="B59" s="2" t="s">
        <v>105</v>
      </c>
      <c r="C59" s="2" t="s">
        <v>106</v>
      </c>
      <c r="D59" s="1">
        <v>1359</v>
      </c>
      <c r="E59" s="1">
        <v>180</v>
      </c>
      <c r="F59" s="1"/>
      <c r="G59" s="1"/>
      <c r="H59" s="1">
        <v>40</v>
      </c>
      <c r="I59" s="1"/>
      <c r="J59" s="1">
        <v>20</v>
      </c>
      <c r="K59" s="1"/>
      <c r="L59" s="1">
        <v>30</v>
      </c>
      <c r="M59" s="1"/>
      <c r="N59" s="3">
        <v>894265</v>
      </c>
      <c r="O59" s="3">
        <v>33453</v>
      </c>
      <c r="P59" s="4">
        <f t="shared" si="0"/>
        <v>927718</v>
      </c>
    </row>
    <row r="60" spans="1:16" x14ac:dyDescent="0.25">
      <c r="A60" s="1">
        <v>52</v>
      </c>
      <c r="B60" s="2" t="s">
        <v>107</v>
      </c>
      <c r="C60" s="2" t="s">
        <v>108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3"/>
      <c r="O60" s="3"/>
      <c r="P60" s="4">
        <f t="shared" si="0"/>
        <v>0</v>
      </c>
    </row>
    <row r="61" spans="1:16" x14ac:dyDescent="0.25">
      <c r="A61" s="1">
        <v>53</v>
      </c>
      <c r="B61" s="2" t="s">
        <v>109</v>
      </c>
      <c r="C61" s="2" t="s">
        <v>110</v>
      </c>
      <c r="D61" s="1">
        <v>900</v>
      </c>
      <c r="E61" s="1">
        <v>200</v>
      </c>
      <c r="F61" s="1"/>
      <c r="G61" s="1"/>
      <c r="H61" s="1"/>
      <c r="I61" s="1"/>
      <c r="J61" s="1">
        <v>18</v>
      </c>
      <c r="K61" s="1">
        <v>15</v>
      </c>
      <c r="L61" s="1">
        <v>5</v>
      </c>
      <c r="M61" s="1">
        <v>35</v>
      </c>
      <c r="N61" s="3">
        <v>337592</v>
      </c>
      <c r="O61" s="3">
        <v>58207</v>
      </c>
      <c r="P61" s="4">
        <f t="shared" si="0"/>
        <v>395799</v>
      </c>
    </row>
    <row r="62" spans="1:16" x14ac:dyDescent="0.25">
      <c r="A62" s="1">
        <v>54</v>
      </c>
      <c r="B62" s="2" t="s">
        <v>179</v>
      </c>
      <c r="C62" s="2" t="s">
        <v>174</v>
      </c>
      <c r="D62" s="1">
        <v>900</v>
      </c>
      <c r="E62" s="1">
        <v>150</v>
      </c>
      <c r="F62" s="1">
        <v>30</v>
      </c>
      <c r="G62" s="1">
        <v>20</v>
      </c>
      <c r="H62" s="1">
        <v>50</v>
      </c>
      <c r="I62" s="1"/>
      <c r="J62" s="1"/>
      <c r="K62" s="1"/>
      <c r="L62" s="1"/>
      <c r="M62" s="1"/>
      <c r="N62" s="3">
        <v>392548</v>
      </c>
      <c r="O62" s="3"/>
      <c r="P62" s="4">
        <f t="shared" si="0"/>
        <v>392548</v>
      </c>
    </row>
    <row r="63" spans="1:16" x14ac:dyDescent="0.25">
      <c r="A63" s="1">
        <v>55</v>
      </c>
      <c r="B63" s="2" t="s">
        <v>211</v>
      </c>
      <c r="C63" s="2" t="s">
        <v>212</v>
      </c>
      <c r="D63" s="1">
        <v>585</v>
      </c>
      <c r="E63" s="1">
        <v>210</v>
      </c>
      <c r="F63" s="1">
        <v>20</v>
      </c>
      <c r="G63" s="1"/>
      <c r="H63" s="1">
        <v>25</v>
      </c>
      <c r="I63" s="1"/>
      <c r="J63" s="1">
        <v>22</v>
      </c>
      <c r="K63" s="1">
        <v>20</v>
      </c>
      <c r="L63" s="1">
        <v>26</v>
      </c>
      <c r="M63" s="1">
        <v>60</v>
      </c>
      <c r="N63" s="3">
        <v>299716</v>
      </c>
      <c r="O63" s="3">
        <v>100412</v>
      </c>
      <c r="P63" s="4">
        <f t="shared" si="0"/>
        <v>400128</v>
      </c>
    </row>
    <row r="64" spans="1:16" x14ac:dyDescent="0.25">
      <c r="A64" s="1">
        <v>56</v>
      </c>
      <c r="B64" s="2" t="s">
        <v>214</v>
      </c>
      <c r="C64" s="2" t="s">
        <v>215</v>
      </c>
      <c r="D64" s="1">
        <v>725</v>
      </c>
      <c r="E64" s="1">
        <v>170</v>
      </c>
      <c r="F64" s="1"/>
      <c r="G64" s="1"/>
      <c r="H64" s="1">
        <v>35</v>
      </c>
      <c r="I64" s="1"/>
      <c r="J64" s="1"/>
      <c r="K64" s="1">
        <v>10</v>
      </c>
      <c r="L64" s="1"/>
      <c r="M64" s="1">
        <v>40</v>
      </c>
      <c r="N64" s="3">
        <v>306554</v>
      </c>
      <c r="O64" s="3">
        <v>43258</v>
      </c>
      <c r="P64" s="4">
        <f t="shared" si="0"/>
        <v>349812</v>
      </c>
    </row>
    <row r="65" spans="1:16" x14ac:dyDescent="0.25">
      <c r="A65" s="1">
        <v>57</v>
      </c>
      <c r="B65" s="5" t="s">
        <v>111</v>
      </c>
      <c r="C65" s="2" t="s">
        <v>112</v>
      </c>
      <c r="D65" s="1">
        <f>390+400</f>
        <v>790</v>
      </c>
      <c r="E65" s="1">
        <f>150+130</f>
        <v>280</v>
      </c>
      <c r="F65" s="1">
        <v>10</v>
      </c>
      <c r="G65" s="1">
        <v>10</v>
      </c>
      <c r="H65" s="1">
        <v>25</v>
      </c>
      <c r="I65" s="1"/>
      <c r="J65" s="1"/>
      <c r="K65" s="1"/>
      <c r="L65" s="1"/>
      <c r="M65" s="1"/>
      <c r="N65" s="3">
        <f>200603+186107</f>
        <v>386710</v>
      </c>
      <c r="O65" s="3"/>
      <c r="P65" s="4">
        <f t="shared" si="0"/>
        <v>386710</v>
      </c>
    </row>
    <row r="66" spans="1:16" x14ac:dyDescent="0.25">
      <c r="A66" s="1">
        <v>58</v>
      </c>
      <c r="B66" s="2" t="s">
        <v>113</v>
      </c>
      <c r="C66" s="2" t="s">
        <v>114</v>
      </c>
      <c r="D66" s="1">
        <v>10</v>
      </c>
      <c r="E66" s="1">
        <v>10</v>
      </c>
      <c r="F66" s="1">
        <v>10</v>
      </c>
      <c r="G66" s="1">
        <v>11</v>
      </c>
      <c r="H66" s="1">
        <v>81</v>
      </c>
      <c r="I66" s="1"/>
      <c r="J66" s="1"/>
      <c r="K66" s="1"/>
      <c r="L66" s="1"/>
      <c r="M66" s="1"/>
      <c r="N66" s="3">
        <v>92511</v>
      </c>
      <c r="O66" s="3"/>
      <c r="P66" s="4">
        <f t="shared" si="0"/>
        <v>92511</v>
      </c>
    </row>
    <row r="67" spans="1:16" x14ac:dyDescent="0.25">
      <c r="A67" s="1">
        <v>59</v>
      </c>
      <c r="B67" s="2" t="s">
        <v>115</v>
      </c>
      <c r="C67" s="2" t="s">
        <v>116</v>
      </c>
      <c r="D67" s="1">
        <v>55</v>
      </c>
      <c r="E67" s="1">
        <v>40</v>
      </c>
      <c r="F67" s="1"/>
      <c r="G67" s="1"/>
      <c r="H67" s="1">
        <v>125</v>
      </c>
      <c r="I67" s="1">
        <v>80</v>
      </c>
      <c r="J67" s="1"/>
      <c r="K67" s="1"/>
      <c r="L67" s="1"/>
      <c r="M67" s="1"/>
      <c r="N67" s="3">
        <v>202743</v>
      </c>
      <c r="O67" s="3"/>
      <c r="P67" s="4">
        <f t="shared" si="0"/>
        <v>202743</v>
      </c>
    </row>
    <row r="68" spans="1:16" x14ac:dyDescent="0.25">
      <c r="A68" s="1">
        <v>60</v>
      </c>
      <c r="B68" s="2" t="s">
        <v>158</v>
      </c>
      <c r="C68" s="2" t="s">
        <v>118</v>
      </c>
      <c r="D68" s="1">
        <f>320+300+310</f>
        <v>930</v>
      </c>
      <c r="E68" s="1">
        <f>120+200+100</f>
        <v>420</v>
      </c>
      <c r="F68" s="1"/>
      <c r="G68" s="1">
        <v>15</v>
      </c>
      <c r="H68" s="1">
        <v>30</v>
      </c>
      <c r="I68" s="1"/>
      <c r="J68" s="1">
        <f>8+8</f>
        <v>16</v>
      </c>
      <c r="K68" s="1"/>
      <c r="L68" s="1">
        <f>8+8</f>
        <v>16</v>
      </c>
      <c r="M68" s="1"/>
      <c r="N68" s="3">
        <f>171128+181780+141527</f>
        <v>494435</v>
      </c>
      <c r="O68" s="3">
        <f>10399+10399</f>
        <v>20798</v>
      </c>
      <c r="P68" s="4">
        <f t="shared" si="0"/>
        <v>515233</v>
      </c>
    </row>
    <row r="69" spans="1:16" x14ac:dyDescent="0.25">
      <c r="A69" s="1">
        <v>61</v>
      </c>
      <c r="B69" s="2" t="s">
        <v>119</v>
      </c>
      <c r="C69" s="2" t="s">
        <v>120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3"/>
      <c r="O69" s="3"/>
      <c r="P69" s="4">
        <f t="shared" si="0"/>
        <v>0</v>
      </c>
    </row>
    <row r="70" spans="1:16" x14ac:dyDescent="0.25">
      <c r="A70" s="1">
        <v>62</v>
      </c>
      <c r="B70" s="2" t="s">
        <v>121</v>
      </c>
      <c r="C70" s="2" t="s">
        <v>122</v>
      </c>
      <c r="D70" s="1">
        <f>770+925+800+900</f>
        <v>3395</v>
      </c>
      <c r="E70" s="1">
        <f>80+150+100+185</f>
        <v>515</v>
      </c>
      <c r="F70" s="1">
        <f>10+5+10+10</f>
        <v>35</v>
      </c>
      <c r="G70" s="1">
        <f>3+5+5</f>
        <v>13</v>
      </c>
      <c r="H70" s="1">
        <f>37+70+75+50</f>
        <v>232</v>
      </c>
      <c r="I70" s="1"/>
      <c r="J70" s="1">
        <f>5+5+5</f>
        <v>15</v>
      </c>
      <c r="K70" s="1">
        <f>5+5+5</f>
        <v>15</v>
      </c>
      <c r="L70" s="1">
        <f>5</f>
        <v>5</v>
      </c>
      <c r="M70" s="1">
        <f>5+5</f>
        <v>10</v>
      </c>
      <c r="N70" s="3">
        <f>287533+382419+335631+384326</f>
        <v>1389909</v>
      </c>
      <c r="O70" s="3">
        <f>3249+15151+11902</f>
        <v>30302</v>
      </c>
      <c r="P70" s="4">
        <f t="shared" si="0"/>
        <v>1420211</v>
      </c>
    </row>
    <row r="71" spans="1:16" x14ac:dyDescent="0.25">
      <c r="A71" s="1">
        <v>63</v>
      </c>
      <c r="B71" s="5" t="s">
        <v>123</v>
      </c>
      <c r="C71" s="2" t="s">
        <v>124</v>
      </c>
      <c r="D71" s="1">
        <v>320</v>
      </c>
      <c r="E71" s="1">
        <v>45</v>
      </c>
      <c r="F71" s="1"/>
      <c r="G71" s="1"/>
      <c r="H71" s="1">
        <v>55</v>
      </c>
      <c r="I71" s="1"/>
      <c r="J71" s="1"/>
      <c r="K71" s="1"/>
      <c r="L71" s="1"/>
      <c r="M71" s="1"/>
      <c r="N71" s="3">
        <v>153595</v>
      </c>
      <c r="O71" s="3"/>
      <c r="P71" s="4">
        <f t="shared" si="0"/>
        <v>153595</v>
      </c>
    </row>
    <row r="72" spans="1:16" x14ac:dyDescent="0.25">
      <c r="A72" s="1">
        <v>64</v>
      </c>
      <c r="B72" s="5" t="s">
        <v>125</v>
      </c>
      <c r="C72" s="2" t="s">
        <v>126</v>
      </c>
      <c r="D72" s="1">
        <v>300</v>
      </c>
      <c r="E72" s="1">
        <v>100</v>
      </c>
      <c r="F72" s="1"/>
      <c r="G72" s="1"/>
      <c r="H72" s="1">
        <v>25</v>
      </c>
      <c r="I72" s="1"/>
      <c r="J72" s="1"/>
      <c r="K72" s="1"/>
      <c r="L72" s="1"/>
      <c r="M72" s="1"/>
      <c r="N72" s="3">
        <v>151263</v>
      </c>
      <c r="O72" s="3"/>
      <c r="P72" s="4">
        <f t="shared" si="0"/>
        <v>151263</v>
      </c>
    </row>
    <row r="73" spans="1:16" x14ac:dyDescent="0.25">
      <c r="A73" s="1">
        <v>65</v>
      </c>
      <c r="B73" s="2" t="s">
        <v>127</v>
      </c>
      <c r="C73" s="2" t="s">
        <v>128</v>
      </c>
      <c r="D73" s="1">
        <v>312</v>
      </c>
      <c r="E73" s="1">
        <v>175</v>
      </c>
      <c r="F73" s="1"/>
      <c r="G73" s="1">
        <v>5</v>
      </c>
      <c r="H73" s="1">
        <v>8</v>
      </c>
      <c r="I73" s="1"/>
      <c r="J73" s="1"/>
      <c r="K73" s="1"/>
      <c r="L73" s="1"/>
      <c r="M73" s="1"/>
      <c r="N73" s="3">
        <v>151499</v>
      </c>
      <c r="O73" s="3"/>
      <c r="P73" s="4">
        <f t="shared" si="0"/>
        <v>151499</v>
      </c>
    </row>
    <row r="74" spans="1:16" x14ac:dyDescent="0.25">
      <c r="A74" s="1">
        <v>66</v>
      </c>
      <c r="B74" s="5" t="s">
        <v>131</v>
      </c>
      <c r="C74" s="5" t="s">
        <v>132</v>
      </c>
      <c r="D74" s="1">
        <v>100</v>
      </c>
      <c r="E74" s="1"/>
      <c r="F74" s="1"/>
      <c r="G74" s="1"/>
      <c r="H74" s="1"/>
      <c r="I74" s="1"/>
      <c r="J74" s="1"/>
      <c r="K74" s="1"/>
      <c r="L74" s="1"/>
      <c r="M74" s="1"/>
      <c r="N74" s="3">
        <v>17312</v>
      </c>
      <c r="O74" s="3"/>
      <c r="P74" s="4">
        <f t="shared" si="0"/>
        <v>17312</v>
      </c>
    </row>
    <row r="75" spans="1:16" x14ac:dyDescent="0.25">
      <c r="A75" s="1">
        <v>67</v>
      </c>
      <c r="B75" s="2" t="s">
        <v>133</v>
      </c>
      <c r="C75" s="2" t="s">
        <v>132</v>
      </c>
      <c r="D75" s="1">
        <v>201</v>
      </c>
      <c r="E75" s="1">
        <v>5</v>
      </c>
      <c r="F75" s="1"/>
      <c r="G75" s="1"/>
      <c r="H75" s="1">
        <v>10</v>
      </c>
      <c r="I75" s="1"/>
      <c r="J75" s="1">
        <v>3</v>
      </c>
      <c r="K75" s="1"/>
      <c r="L75" s="1">
        <v>3</v>
      </c>
      <c r="M75" s="1"/>
      <c r="N75" s="3">
        <v>44588</v>
      </c>
      <c r="O75" s="3">
        <v>4027</v>
      </c>
      <c r="P75" s="4">
        <f t="shared" si="0"/>
        <v>48615</v>
      </c>
    </row>
    <row r="76" spans="1:16" x14ac:dyDescent="0.25">
      <c r="A76" s="1">
        <v>68</v>
      </c>
      <c r="B76" s="9" t="s">
        <v>134</v>
      </c>
      <c r="C76" s="2" t="s">
        <v>135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3"/>
      <c r="O76" s="3"/>
      <c r="P76" s="4">
        <f t="shared" si="0"/>
        <v>0</v>
      </c>
    </row>
    <row r="77" spans="1:16" x14ac:dyDescent="0.25">
      <c r="A77" s="1">
        <v>69</v>
      </c>
      <c r="B77" s="9" t="s">
        <v>138</v>
      </c>
      <c r="C77" s="2" t="s">
        <v>139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3"/>
      <c r="O77" s="3"/>
      <c r="P77" s="4">
        <f t="shared" si="0"/>
        <v>0</v>
      </c>
    </row>
    <row r="78" spans="1:16" x14ac:dyDescent="0.25">
      <c r="A78" s="1">
        <v>70</v>
      </c>
      <c r="B78" s="9" t="s">
        <v>142</v>
      </c>
      <c r="C78" s="2" t="s">
        <v>143</v>
      </c>
      <c r="D78" s="1">
        <v>181</v>
      </c>
      <c r="E78" s="1">
        <v>61</v>
      </c>
      <c r="F78" s="1">
        <v>5</v>
      </c>
      <c r="G78" s="1"/>
      <c r="H78" s="1">
        <v>10</v>
      </c>
      <c r="I78" s="1"/>
      <c r="J78" s="1">
        <v>1</v>
      </c>
      <c r="K78" s="1">
        <v>2</v>
      </c>
      <c r="L78" s="1"/>
      <c r="M78" s="1">
        <v>1</v>
      </c>
      <c r="N78" s="3">
        <v>97049</v>
      </c>
      <c r="O78" s="3">
        <v>3424</v>
      </c>
      <c r="P78" s="4">
        <f t="shared" si="0"/>
        <v>100473</v>
      </c>
    </row>
    <row r="79" spans="1:16" x14ac:dyDescent="0.25">
      <c r="A79" s="1">
        <v>71</v>
      </c>
      <c r="B79" s="5" t="s">
        <v>146</v>
      </c>
      <c r="C79" s="2" t="s">
        <v>147</v>
      </c>
      <c r="D79" s="1">
        <f>50+40+80</f>
        <v>170</v>
      </c>
      <c r="E79" s="1">
        <f>5+13</f>
        <v>18</v>
      </c>
      <c r="F79" s="1">
        <v>1</v>
      </c>
      <c r="G79" s="1"/>
      <c r="H79" s="1">
        <v>23</v>
      </c>
      <c r="I79" s="1"/>
      <c r="J79" s="1">
        <f>2+2</f>
        <v>4</v>
      </c>
      <c r="K79" s="1">
        <v>2</v>
      </c>
      <c r="L79" s="1">
        <f>2+2</f>
        <v>4</v>
      </c>
      <c r="M79" s="1">
        <f>1+2</f>
        <v>3</v>
      </c>
      <c r="N79" s="3">
        <f>16511+39968+22015</f>
        <v>78494</v>
      </c>
      <c r="O79" s="3">
        <f>3602+6355</f>
        <v>9957</v>
      </c>
      <c r="P79" s="4">
        <f t="shared" si="0"/>
        <v>88451</v>
      </c>
    </row>
    <row r="80" spans="1:16" ht="15.75" thickBot="1" x14ac:dyDescent="0.3">
      <c r="A80" s="1">
        <v>72</v>
      </c>
      <c r="B80" s="10" t="s">
        <v>148</v>
      </c>
      <c r="C80" s="11" t="s">
        <v>149</v>
      </c>
      <c r="D80" s="12">
        <f>150+150</f>
        <v>300</v>
      </c>
      <c r="E80" s="12">
        <v>5</v>
      </c>
      <c r="F80" s="12">
        <v>5</v>
      </c>
      <c r="G80" s="12"/>
      <c r="H80" s="12">
        <f>5+8</f>
        <v>13</v>
      </c>
      <c r="I80" s="12"/>
      <c r="J80" s="12"/>
      <c r="K80" s="12"/>
      <c r="L80" s="12"/>
      <c r="M80" s="12"/>
      <c r="N80" s="13">
        <f>45819+55882</f>
        <v>101701</v>
      </c>
      <c r="O80" s="13"/>
      <c r="P80" s="4">
        <f t="shared" si="0"/>
        <v>101701</v>
      </c>
    </row>
    <row r="81" spans="1:16" ht="15.75" thickBot="1" x14ac:dyDescent="0.3">
      <c r="A81" s="39" t="s">
        <v>150</v>
      </c>
      <c r="B81" s="40"/>
      <c r="C81" s="24"/>
      <c r="D81" s="25">
        <f t="shared" ref="D81:P81" si="1">SUM(D5:D80)</f>
        <v>59761</v>
      </c>
      <c r="E81" s="25">
        <f t="shared" si="1"/>
        <v>14443</v>
      </c>
      <c r="F81" s="25">
        <f t="shared" si="1"/>
        <v>796</v>
      </c>
      <c r="G81" s="25">
        <f t="shared" si="1"/>
        <v>333</v>
      </c>
      <c r="H81" s="25">
        <f t="shared" si="1"/>
        <v>4077</v>
      </c>
      <c r="I81" s="25">
        <f t="shared" si="1"/>
        <v>140</v>
      </c>
      <c r="J81" s="25">
        <f t="shared" si="1"/>
        <v>370</v>
      </c>
      <c r="K81" s="25">
        <f t="shared" si="1"/>
        <v>148</v>
      </c>
      <c r="L81" s="25">
        <f t="shared" si="1"/>
        <v>361</v>
      </c>
      <c r="M81" s="25">
        <f t="shared" si="1"/>
        <v>214</v>
      </c>
      <c r="N81" s="26">
        <f t="shared" si="1"/>
        <v>28135147</v>
      </c>
      <c r="O81" s="26">
        <f t="shared" si="1"/>
        <v>784839</v>
      </c>
      <c r="P81" s="26">
        <f t="shared" si="1"/>
        <v>28919986</v>
      </c>
    </row>
  </sheetData>
  <mergeCells count="3">
    <mergeCell ref="A1:P1"/>
    <mergeCell ref="A2:P2"/>
    <mergeCell ref="A81:B81"/>
  </mergeCells>
  <pageMargins left="0.70866141732283472" right="0.70866141732283472" top="0.15748031496062992" bottom="0.15748031496062992" header="0.15748031496062992" footer="0.15748031496062992"/>
  <pageSetup paperSize="9" scale="68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DB3C-220F-4EFE-B949-58CC4CDC0060}">
  <dimension ref="A1:R80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27" sqref="L27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15.5703125" bestFit="1" customWidth="1"/>
    <col min="4" max="4" width="8.42578125" style="14" customWidth="1"/>
    <col min="5" max="5" width="9" style="14" customWidth="1"/>
    <col min="6" max="6" width="8.42578125" style="14" customWidth="1"/>
    <col min="7" max="9" width="8.7109375" style="14" customWidth="1"/>
    <col min="10" max="11" width="9" style="14" customWidth="1"/>
    <col min="12" max="12" width="8.7109375" style="14" customWidth="1"/>
    <col min="13" max="13" width="8.28515625" style="14" customWidth="1"/>
    <col min="14" max="14" width="14.140625" style="14" customWidth="1"/>
    <col min="15" max="15" width="12.5703125" style="14" customWidth="1"/>
    <col min="16" max="16" width="14.140625" bestFit="1" customWidth="1"/>
  </cols>
  <sheetData>
    <row r="1" spans="1:16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9.5" thickBot="1" x14ac:dyDescent="0.35">
      <c r="A2" s="38" t="s">
        <v>220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63.75" thickBot="1" x14ac:dyDescent="0.3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25</v>
      </c>
      <c r="O3" s="18" t="s">
        <v>26</v>
      </c>
      <c r="P3" s="19" t="s">
        <v>28</v>
      </c>
    </row>
    <row r="4" spans="1:16" ht="15.75" thickBot="1" x14ac:dyDescent="0.3">
      <c r="A4" s="20"/>
      <c r="B4" s="21"/>
      <c r="C4" s="21"/>
      <c r="D4" s="22" t="s">
        <v>29</v>
      </c>
      <c r="E4" s="22" t="s">
        <v>30</v>
      </c>
      <c r="F4" s="22" t="s">
        <v>32</v>
      </c>
      <c r="G4" s="22" t="s">
        <v>33</v>
      </c>
      <c r="H4" s="22" t="s">
        <v>34</v>
      </c>
      <c r="I4" s="22" t="s">
        <v>35</v>
      </c>
      <c r="J4" s="22" t="s">
        <v>36</v>
      </c>
      <c r="K4" s="22" t="s">
        <v>29</v>
      </c>
      <c r="L4" s="22" t="s">
        <v>36</v>
      </c>
      <c r="M4" s="22" t="s">
        <v>29</v>
      </c>
      <c r="N4" s="22"/>
      <c r="O4" s="22"/>
      <c r="P4" s="23"/>
    </row>
    <row r="5" spans="1:16" x14ac:dyDescent="0.25">
      <c r="A5" s="1">
        <v>1</v>
      </c>
      <c r="B5" s="2" t="s">
        <v>39</v>
      </c>
      <c r="C5" s="2" t="s">
        <v>40</v>
      </c>
      <c r="D5" s="1">
        <f>1050+900+1100+960+1100</f>
        <v>5110</v>
      </c>
      <c r="E5" s="1">
        <f>200+200+200+175+200</f>
        <v>975</v>
      </c>
      <c r="F5" s="1">
        <f>5</f>
        <v>5</v>
      </c>
      <c r="G5" s="1"/>
      <c r="H5" s="1">
        <f>100+60</f>
        <v>160</v>
      </c>
      <c r="I5" s="1"/>
      <c r="J5" s="1">
        <f>15+15</f>
        <v>30</v>
      </c>
      <c r="K5" s="1">
        <f>10+5</f>
        <v>15</v>
      </c>
      <c r="L5" s="1">
        <f>15+5+15</f>
        <v>35</v>
      </c>
      <c r="M5" s="1">
        <f>10</f>
        <v>10</v>
      </c>
      <c r="N5" s="3">
        <f>376544+423272+389529+395925+389529</f>
        <v>1974799</v>
      </c>
      <c r="O5" s="3">
        <f>8652+8652+19498+3249+23824</f>
        <v>63875</v>
      </c>
      <c r="P5" s="4">
        <f>N5+O5</f>
        <v>2038674</v>
      </c>
    </row>
    <row r="6" spans="1:16" x14ac:dyDescent="0.25">
      <c r="A6" s="1">
        <v>2</v>
      </c>
      <c r="B6" s="2" t="s">
        <v>41</v>
      </c>
      <c r="C6" s="2" t="s">
        <v>42</v>
      </c>
      <c r="D6" s="1">
        <f>800+1200+1000+1260+1500+930+1350+910+1050+1200+1000</f>
        <v>12200</v>
      </c>
      <c r="E6" s="1">
        <f>220+100+200+50+200+100+170+100+150</f>
        <v>1290</v>
      </c>
      <c r="F6" s="1"/>
      <c r="G6" s="1"/>
      <c r="H6" s="1">
        <f>130+100+40+70+120+10+50+100</f>
        <v>620</v>
      </c>
      <c r="I6" s="1"/>
      <c r="J6" s="1">
        <f>5</f>
        <v>5</v>
      </c>
      <c r="K6" s="1">
        <f>5+3</f>
        <v>8</v>
      </c>
      <c r="L6" s="1">
        <f>5</f>
        <v>5</v>
      </c>
      <c r="M6" s="1">
        <f>5+3</f>
        <v>8</v>
      </c>
      <c r="N6" s="3">
        <f>433395+363560+449240+387445+389529+405358+402513+427424+281238+406400+423272</f>
        <v>4369374</v>
      </c>
      <c r="O6" s="3">
        <f>15151+5191</f>
        <v>20342</v>
      </c>
      <c r="P6" s="4">
        <f t="shared" ref="P6:P79" si="0">N6+O6</f>
        <v>4389716</v>
      </c>
    </row>
    <row r="7" spans="1:16" x14ac:dyDescent="0.25">
      <c r="A7" s="1">
        <v>3</v>
      </c>
      <c r="B7" s="5" t="s">
        <v>43</v>
      </c>
      <c r="C7" s="2" t="s">
        <v>44</v>
      </c>
      <c r="D7" s="1">
        <f>830+1150</f>
        <v>1980</v>
      </c>
      <c r="E7" s="1">
        <f>80</f>
        <v>80</v>
      </c>
      <c r="F7" s="1"/>
      <c r="G7" s="1"/>
      <c r="H7" s="1">
        <f>40</f>
        <v>40</v>
      </c>
      <c r="I7" s="1"/>
      <c r="J7" s="1">
        <v>4</v>
      </c>
      <c r="K7" s="1">
        <f>5</f>
        <v>5</v>
      </c>
      <c r="L7" s="1">
        <v>4</v>
      </c>
      <c r="M7" s="1">
        <f>5</f>
        <v>5</v>
      </c>
      <c r="N7" s="3">
        <f>291361+298639</f>
        <v>590000</v>
      </c>
      <c r="O7" s="3">
        <f>8652+5199</f>
        <v>13851</v>
      </c>
      <c r="P7" s="4">
        <f t="shared" si="0"/>
        <v>603851</v>
      </c>
    </row>
    <row r="8" spans="1:16" x14ac:dyDescent="0.25">
      <c r="A8" s="1">
        <v>4</v>
      </c>
      <c r="B8" s="2" t="s">
        <v>45</v>
      </c>
      <c r="C8" s="2" t="s">
        <v>46</v>
      </c>
      <c r="D8" s="1">
        <f>250+440</f>
        <v>690</v>
      </c>
      <c r="E8" s="1">
        <f>150+150</f>
        <v>300</v>
      </c>
      <c r="F8" s="1">
        <f>10</f>
        <v>10</v>
      </c>
      <c r="G8" s="1">
        <f>30+20</f>
        <v>50</v>
      </c>
      <c r="H8" s="1">
        <f>170+180</f>
        <v>350</v>
      </c>
      <c r="I8" s="1"/>
      <c r="J8" s="1"/>
      <c r="K8" s="1"/>
      <c r="L8" s="1"/>
      <c r="M8" s="1"/>
      <c r="N8" s="3">
        <f>306658+367164</f>
        <v>673822</v>
      </c>
      <c r="O8" s="3"/>
      <c r="P8" s="4">
        <f t="shared" si="0"/>
        <v>673822</v>
      </c>
    </row>
    <row r="9" spans="1:16" x14ac:dyDescent="0.25">
      <c r="A9" s="1">
        <v>5</v>
      </c>
      <c r="B9" s="2" t="s">
        <v>47</v>
      </c>
      <c r="C9" s="2" t="s">
        <v>48</v>
      </c>
      <c r="D9" s="1">
        <f>830+900</f>
        <v>1730</v>
      </c>
      <c r="E9" s="1">
        <f>50+50</f>
        <v>100</v>
      </c>
      <c r="F9" s="1"/>
      <c r="G9" s="1"/>
      <c r="H9" s="1">
        <f>70+50</f>
        <v>120</v>
      </c>
      <c r="I9" s="1"/>
      <c r="J9" s="1"/>
      <c r="K9" s="1"/>
      <c r="L9" s="1"/>
      <c r="M9" s="1"/>
      <c r="N9" s="3">
        <f>301484+302526</f>
        <v>604010</v>
      </c>
      <c r="O9" s="3"/>
      <c r="P9" s="4">
        <f t="shared" si="0"/>
        <v>604010</v>
      </c>
    </row>
    <row r="10" spans="1:16" x14ac:dyDescent="0.25">
      <c r="A10" s="1">
        <v>6</v>
      </c>
      <c r="B10" s="2" t="s">
        <v>199</v>
      </c>
      <c r="C10" s="2" t="s">
        <v>200</v>
      </c>
      <c r="D10" s="1">
        <f>790+800</f>
        <v>1590</v>
      </c>
      <c r="E10" s="1">
        <f>100+100</f>
        <v>200</v>
      </c>
      <c r="F10" s="1"/>
      <c r="G10" s="1"/>
      <c r="H10" s="1">
        <f>50+50</f>
        <v>100</v>
      </c>
      <c r="I10" s="1"/>
      <c r="J10" s="1"/>
      <c r="K10" s="1"/>
      <c r="L10" s="1"/>
      <c r="M10" s="1"/>
      <c r="N10" s="3">
        <f>299929+302526</f>
        <v>602455</v>
      </c>
      <c r="O10" s="3"/>
      <c r="P10" s="4">
        <f t="shared" si="0"/>
        <v>602455</v>
      </c>
    </row>
    <row r="11" spans="1:16" x14ac:dyDescent="0.25">
      <c r="A11" s="1">
        <v>7</v>
      </c>
      <c r="B11" s="2" t="s">
        <v>49</v>
      </c>
      <c r="C11" s="2" t="s">
        <v>50</v>
      </c>
      <c r="D11" s="1">
        <f>880+1230</f>
        <v>2110</v>
      </c>
      <c r="E11" s="1">
        <f>100+100</f>
        <v>200</v>
      </c>
      <c r="F11" s="1"/>
      <c r="G11" s="1"/>
      <c r="H11" s="1">
        <f>20+20</f>
        <v>40</v>
      </c>
      <c r="I11" s="1"/>
      <c r="J11" s="1">
        <v>2</v>
      </c>
      <c r="K11" s="1">
        <v>2</v>
      </c>
      <c r="L11" s="1">
        <v>2</v>
      </c>
      <c r="M11" s="1">
        <v>2</v>
      </c>
      <c r="N11" s="3">
        <f>297597+388487</f>
        <v>686084</v>
      </c>
      <c r="O11" s="3">
        <v>6060</v>
      </c>
      <c r="P11" s="4">
        <f t="shared" si="0"/>
        <v>692144</v>
      </c>
    </row>
    <row r="12" spans="1:16" x14ac:dyDescent="0.25">
      <c r="A12" s="1">
        <v>8</v>
      </c>
      <c r="B12" s="2" t="s">
        <v>195</v>
      </c>
      <c r="C12" s="2" t="s">
        <v>196</v>
      </c>
      <c r="D12" s="1">
        <f>710</f>
        <v>710</v>
      </c>
      <c r="E12" s="1">
        <f>100</f>
        <v>100</v>
      </c>
      <c r="F12" s="1"/>
      <c r="G12" s="1"/>
      <c r="H12" s="1">
        <f>40</f>
        <v>40</v>
      </c>
      <c r="I12" s="1"/>
      <c r="J12" s="1"/>
      <c r="K12" s="1">
        <f>7</f>
        <v>7</v>
      </c>
      <c r="L12" s="1"/>
      <c r="M12" s="1">
        <f>10</f>
        <v>10</v>
      </c>
      <c r="N12" s="3">
        <f>270586</f>
        <v>270586</v>
      </c>
      <c r="O12" s="3">
        <f>14708</f>
        <v>14708</v>
      </c>
      <c r="P12" s="4">
        <f t="shared" si="0"/>
        <v>285294</v>
      </c>
    </row>
    <row r="13" spans="1:16" x14ac:dyDescent="0.25">
      <c r="A13" s="1">
        <v>9</v>
      </c>
      <c r="B13" s="6" t="s">
        <v>53</v>
      </c>
      <c r="C13" s="2" t="s">
        <v>54</v>
      </c>
      <c r="D13" s="1">
        <f>900+900</f>
        <v>1800</v>
      </c>
      <c r="E13" s="1">
        <f>300+145</f>
        <v>445</v>
      </c>
      <c r="F13" s="1">
        <v>5</v>
      </c>
      <c r="G13" s="1"/>
      <c r="H13" s="1"/>
      <c r="I13" s="1"/>
      <c r="J13" s="1"/>
      <c r="K13" s="1"/>
      <c r="L13" s="1"/>
      <c r="M13" s="1"/>
      <c r="N13" s="3">
        <f>389529+313354</f>
        <v>702883</v>
      </c>
      <c r="O13" s="3"/>
      <c r="P13" s="4">
        <f t="shared" si="0"/>
        <v>702883</v>
      </c>
    </row>
    <row r="14" spans="1:16" x14ac:dyDescent="0.25">
      <c r="A14" s="1">
        <v>10</v>
      </c>
      <c r="B14" s="6" t="s">
        <v>203</v>
      </c>
      <c r="C14" s="2" t="s">
        <v>204</v>
      </c>
      <c r="D14" s="1">
        <f>480</f>
        <v>480</v>
      </c>
      <c r="E14" s="1">
        <f>300</f>
        <v>300</v>
      </c>
      <c r="F14" s="1">
        <f>10</f>
        <v>10</v>
      </c>
      <c r="G14" s="1">
        <f>10</f>
        <v>10</v>
      </c>
      <c r="H14" s="1"/>
      <c r="I14" s="1"/>
      <c r="J14" s="1"/>
      <c r="K14" s="1"/>
      <c r="L14" s="1"/>
      <c r="M14" s="1"/>
      <c r="N14" s="3">
        <f>295175</f>
        <v>295175</v>
      </c>
      <c r="O14" s="3"/>
      <c r="P14" s="4">
        <f t="shared" si="0"/>
        <v>295175</v>
      </c>
    </row>
    <row r="15" spans="1:16" x14ac:dyDescent="0.25">
      <c r="A15" s="1">
        <v>11</v>
      </c>
      <c r="B15" s="2" t="s">
        <v>55</v>
      </c>
      <c r="C15" s="2" t="s">
        <v>56</v>
      </c>
      <c r="D15" s="1">
        <f>700+720</f>
        <v>1420</v>
      </c>
      <c r="E15" s="1">
        <f>160+150</f>
        <v>310</v>
      </c>
      <c r="F15" s="1">
        <f>10</f>
        <v>10</v>
      </c>
      <c r="G15" s="1"/>
      <c r="H15" s="1">
        <f>30+30</f>
        <v>60</v>
      </c>
      <c r="I15" s="1"/>
      <c r="J15" s="1"/>
      <c r="K15" s="1"/>
      <c r="L15" s="1"/>
      <c r="M15" s="1"/>
      <c r="N15" s="3">
        <f>299240+290584</f>
        <v>589824</v>
      </c>
      <c r="O15" s="3"/>
      <c r="P15" s="4">
        <f t="shared" si="0"/>
        <v>589824</v>
      </c>
    </row>
    <row r="16" spans="1:16" x14ac:dyDescent="0.25">
      <c r="A16" s="1">
        <v>12</v>
      </c>
      <c r="B16" s="2" t="s">
        <v>160</v>
      </c>
      <c r="C16" s="2" t="s">
        <v>161</v>
      </c>
      <c r="D16" s="1">
        <v>600</v>
      </c>
      <c r="E16" s="1">
        <v>390</v>
      </c>
      <c r="F16" s="1">
        <v>10</v>
      </c>
      <c r="G16" s="1"/>
      <c r="H16" s="1"/>
      <c r="I16" s="1"/>
      <c r="J16" s="1">
        <f>5</f>
        <v>5</v>
      </c>
      <c r="K16" s="1">
        <v>20</v>
      </c>
      <c r="L16" s="1">
        <f>5</f>
        <v>5</v>
      </c>
      <c r="M16" s="1">
        <v>20</v>
      </c>
      <c r="N16" s="3">
        <v>367023</v>
      </c>
      <c r="O16" s="3">
        <f>6499+34607</f>
        <v>41106</v>
      </c>
      <c r="P16" s="4">
        <f t="shared" si="0"/>
        <v>408129</v>
      </c>
    </row>
    <row r="17" spans="1:16" x14ac:dyDescent="0.25">
      <c r="A17" s="1">
        <v>13</v>
      </c>
      <c r="B17" s="2" t="s">
        <v>59</v>
      </c>
      <c r="C17" s="2" t="s">
        <v>60</v>
      </c>
      <c r="D17" s="1">
        <f>500</f>
        <v>500</v>
      </c>
      <c r="E17" s="1">
        <f>130</f>
        <v>130</v>
      </c>
      <c r="F17" s="1">
        <f>60</f>
        <v>60</v>
      </c>
      <c r="G17" s="1"/>
      <c r="H17" s="1">
        <f>40</f>
        <v>40</v>
      </c>
      <c r="I17" s="1"/>
      <c r="J17" s="1">
        <f>5</f>
        <v>5</v>
      </c>
      <c r="K17" s="1">
        <f>5</f>
        <v>5</v>
      </c>
      <c r="L17" s="1"/>
      <c r="M17" s="1">
        <f>10</f>
        <v>10</v>
      </c>
      <c r="N17" s="3">
        <f>283571</f>
        <v>283571</v>
      </c>
      <c r="O17" s="3">
        <v>16227</v>
      </c>
      <c r="P17" s="4">
        <f t="shared" si="0"/>
        <v>299798</v>
      </c>
    </row>
    <row r="18" spans="1:16" x14ac:dyDescent="0.25">
      <c r="A18" s="1">
        <v>14</v>
      </c>
      <c r="B18" s="2" t="s">
        <v>61</v>
      </c>
      <c r="C18" s="2" t="s">
        <v>62</v>
      </c>
      <c r="D18" s="1">
        <f>801+1215+1100</f>
        <v>3116</v>
      </c>
      <c r="E18" s="1">
        <f>210+115+250</f>
        <v>575</v>
      </c>
      <c r="F18" s="1">
        <f>10</f>
        <v>10</v>
      </c>
      <c r="G18" s="1"/>
      <c r="H18" s="1">
        <f>130+110+100</f>
        <v>340</v>
      </c>
      <c r="I18" s="1"/>
      <c r="J18" s="1">
        <f>20+5</f>
        <v>25</v>
      </c>
      <c r="K18" s="1"/>
      <c r="L18" s="1">
        <f>20+5</f>
        <v>25</v>
      </c>
      <c r="M18" s="1"/>
      <c r="N18" s="3">
        <f>428461+478151+501177</f>
        <v>1407789</v>
      </c>
      <c r="O18" s="3">
        <f>25997+6500</f>
        <v>32497</v>
      </c>
      <c r="P18" s="4">
        <f t="shared" si="0"/>
        <v>1440286</v>
      </c>
    </row>
    <row r="19" spans="1:16" x14ac:dyDescent="0.25">
      <c r="A19" s="1">
        <v>15</v>
      </c>
      <c r="B19" s="2" t="s">
        <v>63</v>
      </c>
      <c r="C19" s="2" t="s">
        <v>64</v>
      </c>
      <c r="D19" s="1">
        <f>820+770</f>
        <v>1590</v>
      </c>
      <c r="E19" s="1">
        <f>100+100</f>
        <v>200</v>
      </c>
      <c r="F19" s="1">
        <f>10+15</f>
        <v>25</v>
      </c>
      <c r="G19" s="1">
        <f>5</f>
        <v>5</v>
      </c>
      <c r="H19" s="1">
        <f>20+10</f>
        <v>30</v>
      </c>
      <c r="I19" s="1"/>
      <c r="J19" s="1">
        <f>3+5</f>
        <v>8</v>
      </c>
      <c r="K19" s="1">
        <v>10</v>
      </c>
      <c r="L19" s="1"/>
      <c r="M19" s="1">
        <v>10</v>
      </c>
      <c r="N19" s="3">
        <f>290672+276477</f>
        <v>567149</v>
      </c>
      <c r="O19" s="3">
        <f>1950+20553</f>
        <v>22503</v>
      </c>
      <c r="P19" s="4">
        <f t="shared" si="0"/>
        <v>589652</v>
      </c>
    </row>
    <row r="20" spans="1:16" x14ac:dyDescent="0.25">
      <c r="A20" s="1">
        <v>16</v>
      </c>
      <c r="B20" s="6" t="s">
        <v>65</v>
      </c>
      <c r="C20" s="2" t="s">
        <v>66</v>
      </c>
      <c r="D20" s="1">
        <f>1200+1420</f>
        <v>2620</v>
      </c>
      <c r="E20" s="1">
        <f>300+50</f>
        <v>350</v>
      </c>
      <c r="F20" s="1">
        <f>20</f>
        <v>20</v>
      </c>
      <c r="G20" s="1">
        <f>10</f>
        <v>10</v>
      </c>
      <c r="H20" s="1">
        <f>50</f>
        <v>50</v>
      </c>
      <c r="I20" s="1"/>
      <c r="J20" s="1">
        <f>7</f>
        <v>7</v>
      </c>
      <c r="K20" s="1"/>
      <c r="L20" s="1">
        <f>7</f>
        <v>7</v>
      </c>
      <c r="M20" s="1"/>
      <c r="N20" s="3">
        <f>510275+409437</f>
        <v>919712</v>
      </c>
      <c r="O20" s="3">
        <f>9099</f>
        <v>9099</v>
      </c>
      <c r="P20" s="4">
        <f t="shared" si="0"/>
        <v>928811</v>
      </c>
    </row>
    <row r="21" spans="1:16" x14ac:dyDescent="0.25">
      <c r="A21" s="1">
        <v>17</v>
      </c>
      <c r="B21" s="6" t="s">
        <v>67</v>
      </c>
      <c r="C21" s="2" t="s">
        <v>68</v>
      </c>
      <c r="D21" s="1">
        <f>350</f>
        <v>350</v>
      </c>
      <c r="E21" s="1">
        <f>250</f>
        <v>250</v>
      </c>
      <c r="F21" s="1"/>
      <c r="G21" s="1"/>
      <c r="H21" s="1">
        <f>30</f>
        <v>30</v>
      </c>
      <c r="I21" s="1"/>
      <c r="J21" s="1">
        <f>13</f>
        <v>13</v>
      </c>
      <c r="K21" s="1"/>
      <c r="L21" s="1">
        <f>1</f>
        <v>1</v>
      </c>
      <c r="M21" s="1"/>
      <c r="N21" s="3">
        <f>236722</f>
        <v>236722</v>
      </c>
      <c r="O21" s="3">
        <f>8976</f>
        <v>8976</v>
      </c>
      <c r="P21" s="4">
        <f t="shared" si="0"/>
        <v>245698</v>
      </c>
    </row>
    <row r="22" spans="1:16" x14ac:dyDescent="0.25">
      <c r="A22" s="1">
        <v>18</v>
      </c>
      <c r="B22" s="6" t="s">
        <v>178</v>
      </c>
      <c r="C22" s="2" t="s">
        <v>70</v>
      </c>
      <c r="D22" s="1">
        <f>500+200</f>
        <v>700</v>
      </c>
      <c r="E22" s="1">
        <f>210</f>
        <v>210</v>
      </c>
      <c r="F22" s="1"/>
      <c r="G22" s="1"/>
      <c r="H22" s="1">
        <f>15</f>
        <v>15</v>
      </c>
      <c r="I22" s="1"/>
      <c r="J22" s="1"/>
      <c r="K22" s="1"/>
      <c r="L22" s="1"/>
      <c r="M22" s="1"/>
      <c r="N22" s="3">
        <f>351740</f>
        <v>351740</v>
      </c>
      <c r="O22" s="3"/>
      <c r="P22" s="4">
        <f t="shared" si="0"/>
        <v>351740</v>
      </c>
    </row>
    <row r="23" spans="1:16" x14ac:dyDescent="0.25">
      <c r="A23" s="1">
        <v>19</v>
      </c>
      <c r="B23" s="6" t="s">
        <v>194</v>
      </c>
      <c r="C23" s="2" t="s">
        <v>172</v>
      </c>
      <c r="D23" s="1">
        <f>350</f>
        <v>350</v>
      </c>
      <c r="E23" s="1">
        <f>300</f>
        <v>300</v>
      </c>
      <c r="F23" s="1">
        <f>75</f>
        <v>75</v>
      </c>
      <c r="G23" s="1"/>
      <c r="H23" s="1">
        <f>35</f>
        <v>35</v>
      </c>
      <c r="I23" s="1"/>
      <c r="J23" s="1">
        <f>10</f>
        <v>10</v>
      </c>
      <c r="K23" s="1"/>
      <c r="L23" s="1">
        <f>9</f>
        <v>9</v>
      </c>
      <c r="M23" s="1"/>
      <c r="N23" s="3">
        <f>341612</f>
        <v>341612</v>
      </c>
      <c r="O23" s="3">
        <f>12348</f>
        <v>12348</v>
      </c>
      <c r="P23" s="4">
        <f t="shared" si="0"/>
        <v>353960</v>
      </c>
    </row>
    <row r="24" spans="1:16" x14ac:dyDescent="0.25">
      <c r="A24" s="1">
        <v>20</v>
      </c>
      <c r="B24" s="6" t="s">
        <v>191</v>
      </c>
      <c r="C24" s="2" t="s">
        <v>192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  <c r="O24" s="3"/>
      <c r="P24" s="4">
        <f t="shared" si="0"/>
        <v>0</v>
      </c>
    </row>
    <row r="25" spans="1:16" x14ac:dyDescent="0.25">
      <c r="A25" s="1">
        <v>21</v>
      </c>
      <c r="B25" s="2" t="s">
        <v>71</v>
      </c>
      <c r="C25" s="2" t="s">
        <v>72</v>
      </c>
      <c r="D25" s="1">
        <f>600+635</f>
        <v>1235</v>
      </c>
      <c r="E25" s="1">
        <f>240+300</f>
        <v>540</v>
      </c>
      <c r="F25" s="1">
        <f>50</f>
        <v>50</v>
      </c>
      <c r="G25" s="1">
        <f>40+35</f>
        <v>75</v>
      </c>
      <c r="H25" s="1">
        <f>70+80</f>
        <v>150</v>
      </c>
      <c r="I25" s="1"/>
      <c r="J25" s="1"/>
      <c r="K25" s="1"/>
      <c r="L25" s="1"/>
      <c r="M25" s="1"/>
      <c r="N25" s="3">
        <f>395191+396073</f>
        <v>791264</v>
      </c>
      <c r="O25" s="3"/>
      <c r="P25" s="4">
        <f t="shared" si="0"/>
        <v>791264</v>
      </c>
    </row>
    <row r="26" spans="1:16" x14ac:dyDescent="0.25">
      <c r="A26" s="1">
        <v>22</v>
      </c>
      <c r="B26" s="2" t="s">
        <v>73</v>
      </c>
      <c r="C26" s="2" t="s">
        <v>74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3"/>
      <c r="O26" s="3"/>
      <c r="P26" s="4">
        <f t="shared" si="0"/>
        <v>0</v>
      </c>
    </row>
    <row r="27" spans="1:16" x14ac:dyDescent="0.25">
      <c r="A27" s="1">
        <v>23</v>
      </c>
      <c r="B27" s="2" t="s">
        <v>75</v>
      </c>
      <c r="C27" s="2" t="s">
        <v>76</v>
      </c>
      <c r="D27" s="7">
        <v>810</v>
      </c>
      <c r="E27" s="7">
        <v>50</v>
      </c>
      <c r="F27" s="7"/>
      <c r="G27" s="7">
        <v>20</v>
      </c>
      <c r="H27" s="7">
        <v>20</v>
      </c>
      <c r="I27" s="7"/>
      <c r="J27" s="7"/>
      <c r="K27" s="7"/>
      <c r="L27" s="7"/>
      <c r="M27" s="7"/>
      <c r="N27" s="8">
        <v>265566</v>
      </c>
      <c r="O27" s="8"/>
      <c r="P27" s="4">
        <f t="shared" si="0"/>
        <v>265566</v>
      </c>
    </row>
    <row r="28" spans="1:16" x14ac:dyDescent="0.25">
      <c r="A28" s="1">
        <v>24</v>
      </c>
      <c r="B28" s="2" t="s">
        <v>181</v>
      </c>
      <c r="C28" s="2" t="s">
        <v>182</v>
      </c>
      <c r="D28" s="7">
        <f>140</f>
        <v>140</v>
      </c>
      <c r="E28" s="7">
        <f>180</f>
        <v>180</v>
      </c>
      <c r="F28" s="7">
        <f>120</f>
        <v>120</v>
      </c>
      <c r="G28" s="7">
        <f>40</f>
        <v>40</v>
      </c>
      <c r="H28" s="7">
        <f>50</f>
        <v>50</v>
      </c>
      <c r="I28" s="7"/>
      <c r="J28" s="7"/>
      <c r="K28" s="7"/>
      <c r="L28" s="7"/>
      <c r="M28" s="7"/>
      <c r="N28" s="8">
        <f>300790</f>
        <v>300790</v>
      </c>
      <c r="O28" s="8"/>
      <c r="P28" s="4">
        <f t="shared" si="0"/>
        <v>300790</v>
      </c>
    </row>
    <row r="29" spans="1:16" x14ac:dyDescent="0.25">
      <c r="A29" s="1">
        <v>25</v>
      </c>
      <c r="B29" s="2" t="s">
        <v>79</v>
      </c>
      <c r="C29" s="2" t="s">
        <v>80</v>
      </c>
      <c r="D29" s="7">
        <f>725</f>
        <v>725</v>
      </c>
      <c r="E29" s="7">
        <f>100</f>
        <v>100</v>
      </c>
      <c r="F29" s="7"/>
      <c r="G29" s="7"/>
      <c r="H29" s="7">
        <f>75</f>
        <v>75</v>
      </c>
      <c r="I29" s="7"/>
      <c r="J29" s="7"/>
      <c r="K29" s="7"/>
      <c r="L29" s="7"/>
      <c r="M29" s="7"/>
      <c r="N29" s="8">
        <f>304470</f>
        <v>304470</v>
      </c>
      <c r="O29" s="8"/>
      <c r="P29" s="4">
        <f t="shared" si="0"/>
        <v>304470</v>
      </c>
    </row>
    <row r="30" spans="1:16" x14ac:dyDescent="0.25">
      <c r="A30" s="1">
        <v>26</v>
      </c>
      <c r="B30" s="2" t="s">
        <v>193</v>
      </c>
      <c r="C30" s="2" t="s">
        <v>80</v>
      </c>
      <c r="D30" s="7">
        <f>700+700</f>
        <v>1400</v>
      </c>
      <c r="E30" s="7">
        <f>380+300</f>
        <v>680</v>
      </c>
      <c r="F30" s="7"/>
      <c r="G30" s="7"/>
      <c r="H30" s="7"/>
      <c r="I30" s="7"/>
      <c r="J30" s="7"/>
      <c r="K30" s="7"/>
      <c r="L30" s="7"/>
      <c r="M30" s="7"/>
      <c r="N30" s="8">
        <f>368799+337592</f>
        <v>706391</v>
      </c>
      <c r="O30" s="8"/>
      <c r="P30" s="4">
        <f t="shared" si="0"/>
        <v>706391</v>
      </c>
    </row>
    <row r="31" spans="1:16" x14ac:dyDescent="0.25">
      <c r="A31" s="1">
        <v>27</v>
      </c>
      <c r="B31" s="2" t="s">
        <v>225</v>
      </c>
      <c r="C31" s="2" t="s">
        <v>80</v>
      </c>
      <c r="D31" s="7">
        <v>700</v>
      </c>
      <c r="E31" s="7">
        <v>70</v>
      </c>
      <c r="F31" s="7">
        <v>40</v>
      </c>
      <c r="G31" s="7"/>
      <c r="H31" s="7">
        <v>50</v>
      </c>
      <c r="I31" s="7"/>
      <c r="J31" s="7">
        <v>5</v>
      </c>
      <c r="K31" s="7"/>
      <c r="L31" s="7">
        <v>5</v>
      </c>
      <c r="M31" s="7"/>
      <c r="N31" s="8">
        <v>295601</v>
      </c>
      <c r="O31" s="8">
        <v>6499</v>
      </c>
      <c r="P31" s="4">
        <f t="shared" si="0"/>
        <v>302100</v>
      </c>
    </row>
    <row r="32" spans="1:16" x14ac:dyDescent="0.25">
      <c r="A32" s="1">
        <v>28</v>
      </c>
      <c r="B32" s="2" t="s">
        <v>81</v>
      </c>
      <c r="C32" s="2" t="s">
        <v>82</v>
      </c>
      <c r="D32" s="1">
        <f>875+525+1100</f>
        <v>2500</v>
      </c>
      <c r="E32" s="1">
        <f>250+200+375</f>
        <v>825</v>
      </c>
      <c r="F32" s="1"/>
      <c r="G32" s="1">
        <f>25</f>
        <v>25</v>
      </c>
      <c r="H32" s="1">
        <f>25+50+25</f>
        <v>100</v>
      </c>
      <c r="I32" s="1"/>
      <c r="J32" s="1"/>
      <c r="K32" s="1"/>
      <c r="L32" s="1"/>
      <c r="M32" s="1"/>
      <c r="N32" s="3">
        <f>378488+298195+501839</f>
        <v>1178522</v>
      </c>
      <c r="O32" s="3"/>
      <c r="P32" s="4">
        <f t="shared" si="0"/>
        <v>1178522</v>
      </c>
    </row>
    <row r="33" spans="1:16" x14ac:dyDescent="0.25">
      <c r="A33" s="1">
        <v>29</v>
      </c>
      <c r="B33" s="2" t="s">
        <v>183</v>
      </c>
      <c r="C33" s="2" t="s">
        <v>184</v>
      </c>
      <c r="D33" s="1">
        <v>650</v>
      </c>
      <c r="E33" s="1">
        <v>150</v>
      </c>
      <c r="F33" s="1"/>
      <c r="G33" s="1"/>
      <c r="H33" s="1">
        <v>50</v>
      </c>
      <c r="I33" s="1"/>
      <c r="J33" s="1"/>
      <c r="K33" s="1"/>
      <c r="L33" s="1"/>
      <c r="M33" s="1"/>
      <c r="N33" s="3">
        <v>289542</v>
      </c>
      <c r="O33" s="3"/>
      <c r="P33" s="4">
        <f t="shared" si="0"/>
        <v>289542</v>
      </c>
    </row>
    <row r="34" spans="1:16" x14ac:dyDescent="0.25">
      <c r="A34" s="1">
        <v>30</v>
      </c>
      <c r="B34" s="2" t="s">
        <v>205</v>
      </c>
      <c r="C34" s="2" t="s">
        <v>157</v>
      </c>
      <c r="D34" s="1">
        <f>700+770+1000</f>
        <v>2470</v>
      </c>
      <c r="E34" s="1">
        <f>120+130+100</f>
        <v>350</v>
      </c>
      <c r="F34" s="1">
        <f>30+40</f>
        <v>70</v>
      </c>
      <c r="G34" s="1"/>
      <c r="H34" s="1">
        <f>120+60</f>
        <v>180</v>
      </c>
      <c r="I34" s="1"/>
      <c r="J34" s="1">
        <f>40+30</f>
        <v>70</v>
      </c>
      <c r="K34" s="1"/>
      <c r="L34" s="1">
        <f>40+30</f>
        <v>70</v>
      </c>
      <c r="M34" s="1"/>
      <c r="N34" s="3">
        <f>361703+342904+302274</f>
        <v>1006881</v>
      </c>
      <c r="O34" s="3">
        <f>50435+37827</f>
        <v>88262</v>
      </c>
      <c r="P34" s="4">
        <f t="shared" si="0"/>
        <v>1095143</v>
      </c>
    </row>
    <row r="35" spans="1:16" x14ac:dyDescent="0.25">
      <c r="A35" s="1">
        <v>31</v>
      </c>
      <c r="B35" s="2" t="s">
        <v>218</v>
      </c>
      <c r="C35" s="2" t="s">
        <v>219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3"/>
      <c r="P35" s="4">
        <f t="shared" si="0"/>
        <v>0</v>
      </c>
    </row>
    <row r="36" spans="1:16" x14ac:dyDescent="0.25">
      <c r="A36" s="1">
        <v>32</v>
      </c>
      <c r="B36" s="2" t="s">
        <v>197</v>
      </c>
      <c r="C36" s="2" t="s">
        <v>198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3"/>
      <c r="P36" s="4">
        <f t="shared" si="0"/>
        <v>0</v>
      </c>
    </row>
    <row r="37" spans="1:16" x14ac:dyDescent="0.25">
      <c r="A37" s="1">
        <v>33</v>
      </c>
      <c r="B37" s="2" t="s">
        <v>206</v>
      </c>
      <c r="C37" s="2" t="s">
        <v>207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  <c r="O37" s="3"/>
      <c r="P37" s="4">
        <f t="shared" si="0"/>
        <v>0</v>
      </c>
    </row>
    <row r="38" spans="1:16" x14ac:dyDescent="0.25">
      <c r="A38" s="1">
        <v>34</v>
      </c>
      <c r="B38" s="2" t="s">
        <v>209</v>
      </c>
      <c r="C38" s="2" t="s">
        <v>208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3"/>
      <c r="O38" s="3"/>
      <c r="P38" s="4">
        <f t="shared" si="0"/>
        <v>0</v>
      </c>
    </row>
    <row r="39" spans="1:16" x14ac:dyDescent="0.25">
      <c r="A39" s="1">
        <v>35</v>
      </c>
      <c r="B39" s="2" t="s">
        <v>216</v>
      </c>
      <c r="C39" s="2" t="s">
        <v>217</v>
      </c>
      <c r="D39" s="1">
        <v>720</v>
      </c>
      <c r="E39" s="1">
        <v>20</v>
      </c>
      <c r="F39" s="1"/>
      <c r="G39" s="1"/>
      <c r="H39" s="1">
        <v>110</v>
      </c>
      <c r="I39" s="1"/>
      <c r="J39" s="1"/>
      <c r="K39" s="1"/>
      <c r="L39" s="1"/>
      <c r="M39" s="1"/>
      <c r="N39" s="3">
        <v>291609</v>
      </c>
      <c r="O39" s="3"/>
      <c r="P39" s="4">
        <f t="shared" si="0"/>
        <v>291609</v>
      </c>
    </row>
    <row r="40" spans="1:16" x14ac:dyDescent="0.25">
      <c r="A40" s="1">
        <v>36</v>
      </c>
      <c r="B40" s="2" t="s">
        <v>221</v>
      </c>
      <c r="C40" s="2" t="s">
        <v>222</v>
      </c>
      <c r="D40" s="1">
        <f>550</f>
        <v>550</v>
      </c>
      <c r="E40" s="1">
        <f>110</f>
        <v>110</v>
      </c>
      <c r="F40" s="1">
        <f>35</f>
        <v>35</v>
      </c>
      <c r="G40" s="1"/>
      <c r="H40" s="1">
        <f>100</f>
        <v>100</v>
      </c>
      <c r="I40" s="1"/>
      <c r="J40" s="1">
        <f>40</f>
        <v>40</v>
      </c>
      <c r="K40" s="1">
        <f>20</f>
        <v>20</v>
      </c>
      <c r="L40" s="1">
        <f>40</f>
        <v>40</v>
      </c>
      <c r="M40" s="1">
        <f>20</f>
        <v>20</v>
      </c>
      <c r="N40" s="3">
        <f>315935</f>
        <v>315935</v>
      </c>
      <c r="O40" s="3">
        <f>86602</f>
        <v>86602</v>
      </c>
      <c r="P40" s="4">
        <f t="shared" si="0"/>
        <v>402537</v>
      </c>
    </row>
    <row r="41" spans="1:16" x14ac:dyDescent="0.25">
      <c r="A41" s="1">
        <v>37</v>
      </c>
      <c r="B41" s="2" t="s">
        <v>162</v>
      </c>
      <c r="C41" s="2" t="s">
        <v>163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3"/>
      <c r="O41" s="3"/>
      <c r="P41" s="4">
        <f t="shared" si="0"/>
        <v>0</v>
      </c>
    </row>
    <row r="42" spans="1:16" x14ac:dyDescent="0.25">
      <c r="A42" s="1">
        <v>38</v>
      </c>
      <c r="B42" s="2" t="s">
        <v>188</v>
      </c>
      <c r="C42" s="2" t="s">
        <v>189</v>
      </c>
      <c r="D42" s="1">
        <f>570</f>
        <v>570</v>
      </c>
      <c r="E42" s="1">
        <f>230</f>
        <v>230</v>
      </c>
      <c r="F42" s="1">
        <f>30</f>
        <v>30</v>
      </c>
      <c r="G42" s="1"/>
      <c r="H42" s="1"/>
      <c r="I42" s="1"/>
      <c r="J42" s="1">
        <f>10</f>
        <v>10</v>
      </c>
      <c r="K42" s="1"/>
      <c r="L42" s="1"/>
      <c r="M42" s="1"/>
      <c r="N42" s="3">
        <f>298998</f>
        <v>298998</v>
      </c>
      <c r="O42" s="3">
        <f>6606</f>
        <v>6606</v>
      </c>
      <c r="P42" s="4">
        <f t="shared" si="0"/>
        <v>305604</v>
      </c>
    </row>
    <row r="43" spans="1:16" x14ac:dyDescent="0.25">
      <c r="A43" s="1">
        <v>39</v>
      </c>
      <c r="B43" s="2" t="s">
        <v>177</v>
      </c>
      <c r="C43" s="2" t="s">
        <v>84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  <c r="O43" s="3"/>
      <c r="P43" s="4">
        <f t="shared" si="0"/>
        <v>0</v>
      </c>
    </row>
    <row r="44" spans="1:16" x14ac:dyDescent="0.25">
      <c r="A44" s="1">
        <v>40</v>
      </c>
      <c r="B44" s="2" t="s">
        <v>213</v>
      </c>
      <c r="C44" s="2" t="s">
        <v>84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  <c r="O44" s="3"/>
      <c r="P44" s="4">
        <f t="shared" si="0"/>
        <v>0</v>
      </c>
    </row>
    <row r="45" spans="1:16" x14ac:dyDescent="0.25">
      <c r="A45" s="1">
        <v>41</v>
      </c>
      <c r="B45" s="2" t="s">
        <v>85</v>
      </c>
      <c r="C45" s="2" t="s">
        <v>86</v>
      </c>
      <c r="D45" s="1">
        <f>400</f>
        <v>400</v>
      </c>
      <c r="E45" s="1">
        <f>300</f>
        <v>300</v>
      </c>
      <c r="F45" s="1">
        <f>50</f>
        <v>50</v>
      </c>
      <c r="G45" s="1"/>
      <c r="H45" s="1">
        <f>60</f>
        <v>60</v>
      </c>
      <c r="I45" s="1"/>
      <c r="J45" s="1"/>
      <c r="K45" s="1"/>
      <c r="L45" s="1"/>
      <c r="M45" s="1"/>
      <c r="N45" s="3">
        <f>404699</f>
        <v>404699</v>
      </c>
      <c r="O45" s="3"/>
      <c r="P45" s="4">
        <f t="shared" si="0"/>
        <v>404699</v>
      </c>
    </row>
    <row r="46" spans="1:16" x14ac:dyDescent="0.25">
      <c r="A46" s="1">
        <v>42</v>
      </c>
      <c r="B46" s="2" t="s">
        <v>87</v>
      </c>
      <c r="C46" s="2" t="s">
        <v>88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3"/>
      <c r="O46" s="3"/>
      <c r="P46" s="4">
        <f t="shared" si="0"/>
        <v>0</v>
      </c>
    </row>
    <row r="47" spans="1:16" x14ac:dyDescent="0.25">
      <c r="A47" s="1">
        <v>43</v>
      </c>
      <c r="B47" s="2" t="s">
        <v>89</v>
      </c>
      <c r="C47" s="2" t="s">
        <v>90</v>
      </c>
      <c r="D47" s="1">
        <v>425</v>
      </c>
      <c r="E47" s="1">
        <v>360</v>
      </c>
      <c r="F47" s="1"/>
      <c r="G47" s="1"/>
      <c r="H47" s="1">
        <v>60</v>
      </c>
      <c r="I47" s="1">
        <v>5</v>
      </c>
      <c r="J47" s="1"/>
      <c r="K47" s="1"/>
      <c r="L47" s="1"/>
      <c r="M47" s="1"/>
      <c r="N47" s="3">
        <v>482369</v>
      </c>
      <c r="O47" s="3"/>
      <c r="P47" s="4">
        <f t="shared" si="0"/>
        <v>482369</v>
      </c>
    </row>
    <row r="48" spans="1:16" x14ac:dyDescent="0.25">
      <c r="A48" s="1">
        <v>44</v>
      </c>
      <c r="B48" s="2" t="s">
        <v>91</v>
      </c>
      <c r="C48" s="2" t="s">
        <v>92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  <c r="O48" s="3"/>
      <c r="P48" s="4">
        <f t="shared" si="0"/>
        <v>0</v>
      </c>
    </row>
    <row r="49" spans="1:16" x14ac:dyDescent="0.25">
      <c r="A49" s="1">
        <v>45</v>
      </c>
      <c r="B49" s="2" t="s">
        <v>93</v>
      </c>
      <c r="C49" s="2" t="s">
        <v>94</v>
      </c>
      <c r="D49" s="1">
        <v>1200</v>
      </c>
      <c r="E49" s="1">
        <v>800</v>
      </c>
      <c r="F49" s="1"/>
      <c r="G49" s="1"/>
      <c r="H49" s="1"/>
      <c r="I49" s="1"/>
      <c r="J49" s="1"/>
      <c r="K49" s="1"/>
      <c r="L49" s="1"/>
      <c r="M49" s="1"/>
      <c r="N49" s="3">
        <v>867283</v>
      </c>
      <c r="O49" s="3"/>
      <c r="P49" s="4">
        <f t="shared" si="0"/>
        <v>867283</v>
      </c>
    </row>
    <row r="50" spans="1:16" x14ac:dyDescent="0.25">
      <c r="A50" s="1">
        <v>46</v>
      </c>
      <c r="B50" s="2" t="s">
        <v>95</v>
      </c>
      <c r="C50" s="2" t="s">
        <v>96</v>
      </c>
      <c r="D50" s="1">
        <v>600</v>
      </c>
      <c r="E50" s="1">
        <v>200</v>
      </c>
      <c r="F50" s="1"/>
      <c r="G50" s="1"/>
      <c r="H50" s="1"/>
      <c r="I50" s="1"/>
      <c r="J50" s="1"/>
      <c r="K50" s="1"/>
      <c r="L50" s="1"/>
      <c r="M50" s="1"/>
      <c r="N50" s="3">
        <v>325231</v>
      </c>
      <c r="O50" s="3"/>
      <c r="P50" s="4">
        <f t="shared" si="0"/>
        <v>325231</v>
      </c>
    </row>
    <row r="51" spans="1:16" x14ac:dyDescent="0.25">
      <c r="A51" s="1">
        <v>47</v>
      </c>
      <c r="B51" s="2" t="s">
        <v>97</v>
      </c>
      <c r="C51" s="2" t="s">
        <v>98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  <c r="O51" s="3"/>
      <c r="P51" s="4">
        <f t="shared" si="0"/>
        <v>0</v>
      </c>
    </row>
    <row r="52" spans="1:16" x14ac:dyDescent="0.25">
      <c r="A52" s="1">
        <v>48</v>
      </c>
      <c r="B52" s="2" t="s">
        <v>99</v>
      </c>
      <c r="C52" s="2" t="s">
        <v>100</v>
      </c>
      <c r="D52" s="1"/>
      <c r="E52" s="1">
        <v>1900</v>
      </c>
      <c r="F52" s="1"/>
      <c r="G52" s="1"/>
      <c r="H52" s="1"/>
      <c r="I52" s="1"/>
      <c r="J52" s="1"/>
      <c r="K52" s="1"/>
      <c r="L52" s="1"/>
      <c r="M52" s="1"/>
      <c r="N52" s="3">
        <v>1029899</v>
      </c>
      <c r="O52" s="3"/>
      <c r="P52" s="4">
        <f t="shared" si="0"/>
        <v>1029899</v>
      </c>
    </row>
    <row r="53" spans="1:16" x14ac:dyDescent="0.25">
      <c r="A53" s="1">
        <v>49</v>
      </c>
      <c r="B53" s="2" t="s">
        <v>101</v>
      </c>
      <c r="C53" s="2" t="s">
        <v>102</v>
      </c>
      <c r="D53" s="1">
        <f>300+450</f>
        <v>750</v>
      </c>
      <c r="E53" s="1"/>
      <c r="F53" s="1"/>
      <c r="G53" s="1"/>
      <c r="H53" s="1">
        <f>20</f>
        <v>20</v>
      </c>
      <c r="I53" s="1">
        <f>20</f>
        <v>20</v>
      </c>
      <c r="J53" s="1"/>
      <c r="K53" s="1">
        <f>5</f>
        <v>5</v>
      </c>
      <c r="L53" s="1">
        <f>5</f>
        <v>5</v>
      </c>
      <c r="M53" s="1">
        <f>5</f>
        <v>5</v>
      </c>
      <c r="N53" s="3">
        <f>385587</f>
        <v>385587</v>
      </c>
      <c r="O53" s="3">
        <f>12277</f>
        <v>12277</v>
      </c>
      <c r="P53" s="4">
        <f t="shared" si="0"/>
        <v>397864</v>
      </c>
    </row>
    <row r="54" spans="1:16" x14ac:dyDescent="0.25">
      <c r="A54" s="1">
        <v>50</v>
      </c>
      <c r="B54" s="2" t="s">
        <v>103</v>
      </c>
      <c r="C54" s="2" t="s">
        <v>104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3"/>
      <c r="O54" s="3"/>
      <c r="P54" s="4">
        <f t="shared" si="0"/>
        <v>0</v>
      </c>
    </row>
    <row r="55" spans="1:16" x14ac:dyDescent="0.25">
      <c r="A55" s="1">
        <v>51</v>
      </c>
      <c r="B55" s="2" t="s">
        <v>201</v>
      </c>
      <c r="C55" s="2" t="s">
        <v>202</v>
      </c>
      <c r="D55" s="1">
        <v>150</v>
      </c>
      <c r="E55" s="1">
        <v>320</v>
      </c>
      <c r="F55" s="1"/>
      <c r="G55" s="1"/>
      <c r="H55" s="1"/>
      <c r="I55" s="1">
        <v>177</v>
      </c>
      <c r="J55" s="1"/>
      <c r="K55" s="1">
        <v>10</v>
      </c>
      <c r="L55" s="1">
        <v>30</v>
      </c>
      <c r="M55" s="1">
        <v>10</v>
      </c>
      <c r="N55" s="3">
        <v>365734</v>
      </c>
      <c r="O55" s="3">
        <v>38033</v>
      </c>
      <c r="P55" s="4">
        <f t="shared" si="0"/>
        <v>403767</v>
      </c>
    </row>
    <row r="56" spans="1:16" x14ac:dyDescent="0.25">
      <c r="A56" s="1">
        <v>52</v>
      </c>
      <c r="B56" s="2" t="s">
        <v>169</v>
      </c>
      <c r="C56" s="2" t="s">
        <v>170</v>
      </c>
      <c r="D56" s="1"/>
      <c r="E56" s="1">
        <v>320</v>
      </c>
      <c r="F56" s="1"/>
      <c r="G56" s="1"/>
      <c r="H56" s="1">
        <v>200</v>
      </c>
      <c r="I56" s="1">
        <v>150</v>
      </c>
      <c r="J56" s="1"/>
      <c r="K56" s="1"/>
      <c r="L56" s="1"/>
      <c r="M56" s="1"/>
      <c r="N56" s="3">
        <v>466993</v>
      </c>
      <c r="O56" s="3"/>
      <c r="P56" s="4">
        <f t="shared" si="0"/>
        <v>466993</v>
      </c>
    </row>
    <row r="57" spans="1:16" x14ac:dyDescent="0.25">
      <c r="A57" s="1">
        <v>53</v>
      </c>
      <c r="B57" s="2" t="s">
        <v>105</v>
      </c>
      <c r="C57" s="2" t="s">
        <v>106</v>
      </c>
      <c r="D57" s="1">
        <v>1460</v>
      </c>
      <c r="E57" s="1">
        <v>200</v>
      </c>
      <c r="F57" s="1"/>
      <c r="G57" s="1"/>
      <c r="H57" s="1"/>
      <c r="I57" s="1"/>
      <c r="J57" s="1"/>
      <c r="K57" s="1"/>
      <c r="L57" s="1"/>
      <c r="M57" s="1"/>
      <c r="N57" s="3">
        <v>899806</v>
      </c>
      <c r="O57" s="3"/>
      <c r="P57" s="4">
        <f t="shared" si="0"/>
        <v>899806</v>
      </c>
    </row>
    <row r="58" spans="1:16" x14ac:dyDescent="0.25">
      <c r="A58" s="1">
        <v>54</v>
      </c>
      <c r="B58" s="2" t="s">
        <v>107</v>
      </c>
      <c r="C58" s="2" t="s">
        <v>108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  <c r="O58" s="3"/>
      <c r="P58" s="4">
        <f t="shared" si="0"/>
        <v>0</v>
      </c>
    </row>
    <row r="59" spans="1:16" x14ac:dyDescent="0.25">
      <c r="A59" s="1">
        <v>55</v>
      </c>
      <c r="B59" s="2" t="s">
        <v>109</v>
      </c>
      <c r="C59" s="2" t="s">
        <v>110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3"/>
      <c r="O59" s="3"/>
      <c r="P59" s="4">
        <f t="shared" si="0"/>
        <v>0</v>
      </c>
    </row>
    <row r="60" spans="1:16" x14ac:dyDescent="0.25">
      <c r="A60" s="1">
        <v>56</v>
      </c>
      <c r="B60" s="2" t="s">
        <v>179</v>
      </c>
      <c r="C60" s="2" t="s">
        <v>174</v>
      </c>
      <c r="D60" s="1">
        <v>1040</v>
      </c>
      <c r="E60" s="1">
        <v>250</v>
      </c>
      <c r="F60" s="1">
        <v>10</v>
      </c>
      <c r="G60" s="1"/>
      <c r="H60" s="1"/>
      <c r="I60" s="1"/>
      <c r="J60" s="1">
        <v>10</v>
      </c>
      <c r="K60" s="1"/>
      <c r="L60" s="1">
        <v>50</v>
      </c>
      <c r="M60" s="1">
        <v>10</v>
      </c>
      <c r="N60" s="3">
        <v>408573</v>
      </c>
      <c r="O60" s="3">
        <v>47648</v>
      </c>
      <c r="P60" s="4">
        <f t="shared" si="0"/>
        <v>456221</v>
      </c>
    </row>
    <row r="61" spans="1:16" x14ac:dyDescent="0.25">
      <c r="A61" s="1">
        <v>57</v>
      </c>
      <c r="B61" s="2" t="s">
        <v>211</v>
      </c>
      <c r="C61" s="2" t="s">
        <v>212</v>
      </c>
      <c r="D61" s="1">
        <v>700</v>
      </c>
      <c r="E61" s="1">
        <v>300</v>
      </c>
      <c r="F61" s="1"/>
      <c r="G61" s="1"/>
      <c r="H61" s="1"/>
      <c r="I61" s="1"/>
      <c r="J61" s="1">
        <v>20</v>
      </c>
      <c r="K61" s="1"/>
      <c r="L61" s="1">
        <v>20</v>
      </c>
      <c r="M61" s="1"/>
      <c r="N61" s="3">
        <f>337592</f>
        <v>337592</v>
      </c>
      <c r="O61" s="3">
        <f>25998</f>
        <v>25998</v>
      </c>
      <c r="P61" s="4">
        <f t="shared" si="0"/>
        <v>363590</v>
      </c>
    </row>
    <row r="62" spans="1:16" x14ac:dyDescent="0.25">
      <c r="A62" s="1">
        <v>58</v>
      </c>
      <c r="B62" s="2" t="s">
        <v>214</v>
      </c>
      <c r="C62" s="2" t="s">
        <v>215</v>
      </c>
      <c r="D62" s="1">
        <f>660</f>
        <v>660</v>
      </c>
      <c r="E62" s="1">
        <f>250</f>
        <v>250</v>
      </c>
      <c r="F62" s="1">
        <f>10</f>
        <v>10</v>
      </c>
      <c r="G62" s="1"/>
      <c r="H62" s="1">
        <f>30</f>
        <v>30</v>
      </c>
      <c r="I62" s="1"/>
      <c r="J62" s="1">
        <f>20</f>
        <v>20</v>
      </c>
      <c r="K62" s="1"/>
      <c r="L62" s="1">
        <f>30</f>
        <v>30</v>
      </c>
      <c r="M62" s="1"/>
      <c r="N62" s="3">
        <f>335596</f>
        <v>335596</v>
      </c>
      <c r="O62" s="3">
        <f>32497</f>
        <v>32497</v>
      </c>
      <c r="P62" s="4">
        <f t="shared" si="0"/>
        <v>368093</v>
      </c>
    </row>
    <row r="63" spans="1:16" x14ac:dyDescent="0.25">
      <c r="A63" s="1">
        <v>59</v>
      </c>
      <c r="B63" s="5" t="s">
        <v>111</v>
      </c>
      <c r="C63" s="2" t="s">
        <v>112</v>
      </c>
      <c r="D63" s="1">
        <f>400+435</f>
        <v>835</v>
      </c>
      <c r="E63" s="1">
        <f>130+100</f>
        <v>230</v>
      </c>
      <c r="F63" s="1">
        <f>15</f>
        <v>15</v>
      </c>
      <c r="G63" s="1"/>
      <c r="H63" s="1">
        <f>35</f>
        <v>35</v>
      </c>
      <c r="I63" s="1"/>
      <c r="J63" s="1"/>
      <c r="K63" s="1">
        <v>2</v>
      </c>
      <c r="L63" s="1"/>
      <c r="M63" s="1">
        <v>2</v>
      </c>
      <c r="N63" s="3">
        <f>201381+177885</f>
        <v>379266</v>
      </c>
      <c r="O63" s="3">
        <f>3461</f>
        <v>3461</v>
      </c>
      <c r="P63" s="4">
        <f t="shared" si="0"/>
        <v>382727</v>
      </c>
    </row>
    <row r="64" spans="1:16" x14ac:dyDescent="0.25">
      <c r="A64" s="1">
        <v>60</v>
      </c>
      <c r="B64" s="2" t="s">
        <v>113</v>
      </c>
      <c r="C64" s="2" t="s">
        <v>114</v>
      </c>
      <c r="D64" s="1"/>
      <c r="E64" s="1"/>
      <c r="F64" s="1">
        <v>10</v>
      </c>
      <c r="G64" s="1">
        <v>10</v>
      </c>
      <c r="H64" s="1">
        <v>80</v>
      </c>
      <c r="I64" s="1">
        <v>20</v>
      </c>
      <c r="J64" s="1"/>
      <c r="K64" s="1"/>
      <c r="L64" s="1"/>
      <c r="M64" s="1"/>
      <c r="N64" s="3">
        <f>98405</f>
        <v>98405</v>
      </c>
      <c r="O64" s="3"/>
      <c r="P64" s="4">
        <f t="shared" si="0"/>
        <v>98405</v>
      </c>
    </row>
    <row r="65" spans="1:18" x14ac:dyDescent="0.25">
      <c r="A65" s="1">
        <v>61</v>
      </c>
      <c r="B65" s="2" t="s">
        <v>115</v>
      </c>
      <c r="C65" s="2" t="s">
        <v>116</v>
      </c>
      <c r="D65" s="1">
        <f>20+25</f>
        <v>45</v>
      </c>
      <c r="E65" s="1">
        <f>22+25</f>
        <v>47</v>
      </c>
      <c r="F65" s="1"/>
      <c r="G65" s="1"/>
      <c r="H65" s="1">
        <f>140+100</f>
        <v>240</v>
      </c>
      <c r="I65" s="1">
        <f>100+100</f>
        <v>200</v>
      </c>
      <c r="J65" s="1"/>
      <c r="K65" s="1"/>
      <c r="L65" s="1"/>
      <c r="M65" s="1"/>
      <c r="N65" s="3">
        <f>212304+180889</f>
        <v>393193</v>
      </c>
      <c r="O65" s="3"/>
      <c r="P65" s="4">
        <f t="shared" si="0"/>
        <v>393193</v>
      </c>
    </row>
    <row r="66" spans="1:18" x14ac:dyDescent="0.25">
      <c r="A66" s="1">
        <v>62</v>
      </c>
      <c r="B66" s="2" t="s">
        <v>158</v>
      </c>
      <c r="C66" s="2" t="s">
        <v>118</v>
      </c>
      <c r="D66" s="1">
        <f>350+400</f>
        <v>750</v>
      </c>
      <c r="E66" s="1">
        <f>100+90</f>
        <v>190</v>
      </c>
      <c r="F66" s="1">
        <f>12</f>
        <v>12</v>
      </c>
      <c r="G66" s="1"/>
      <c r="H66" s="1">
        <f>15+25</f>
        <v>40</v>
      </c>
      <c r="I66" s="1"/>
      <c r="J66" s="1">
        <f>15</f>
        <v>15</v>
      </c>
      <c r="K66" s="1"/>
      <c r="L66" s="1">
        <f>15</f>
        <v>15</v>
      </c>
      <c r="M66" s="1"/>
      <c r="N66" s="3">
        <f>155679+182425</f>
        <v>338104</v>
      </c>
      <c r="O66" s="3">
        <f>19499</f>
        <v>19499</v>
      </c>
      <c r="P66" s="4">
        <f t="shared" si="0"/>
        <v>357603</v>
      </c>
    </row>
    <row r="67" spans="1:18" x14ac:dyDescent="0.25">
      <c r="A67" s="1">
        <v>63</v>
      </c>
      <c r="B67" s="2" t="s">
        <v>119</v>
      </c>
      <c r="C67" s="2" t="s">
        <v>120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3"/>
      <c r="O67" s="3"/>
      <c r="P67" s="4">
        <f t="shared" si="0"/>
        <v>0</v>
      </c>
    </row>
    <row r="68" spans="1:18" x14ac:dyDescent="0.25">
      <c r="A68" s="1">
        <v>64</v>
      </c>
      <c r="B68" s="2" t="s">
        <v>121</v>
      </c>
      <c r="C68" s="2" t="s">
        <v>122</v>
      </c>
      <c r="D68" s="1">
        <f>1080+1060+1225+900</f>
        <v>4265</v>
      </c>
      <c r="E68" s="1">
        <f>100+120+100+200</f>
        <v>520</v>
      </c>
      <c r="F68" s="1">
        <f>15</f>
        <v>15</v>
      </c>
      <c r="G68" s="1">
        <f>3+10</f>
        <v>13</v>
      </c>
      <c r="H68" s="1">
        <f>50+50+25+50</f>
        <v>175</v>
      </c>
      <c r="I68" s="1">
        <f>10</f>
        <v>10</v>
      </c>
      <c r="J68" s="1">
        <f>5+5</f>
        <v>10</v>
      </c>
      <c r="K68" s="1">
        <v>5</v>
      </c>
      <c r="L68" s="1">
        <f>5+5</f>
        <v>10</v>
      </c>
      <c r="M68" s="1">
        <v>5</v>
      </c>
      <c r="N68" s="3">
        <f>390039+394063+391473+380432</f>
        <v>1556007</v>
      </c>
      <c r="O68" s="3">
        <f>3250+6499+11901</f>
        <v>21650</v>
      </c>
      <c r="P68" s="4">
        <f t="shared" si="0"/>
        <v>1577657</v>
      </c>
    </row>
    <row r="69" spans="1:18" x14ac:dyDescent="0.25">
      <c r="A69" s="1">
        <v>65</v>
      </c>
      <c r="B69" s="5" t="s">
        <v>123</v>
      </c>
      <c r="C69" s="2" t="s">
        <v>124</v>
      </c>
      <c r="D69" s="1">
        <f>647+700</f>
        <v>1347</v>
      </c>
      <c r="E69" s="1">
        <f>53+20</f>
        <v>73</v>
      </c>
      <c r="F69" s="1"/>
      <c r="G69" s="1"/>
      <c r="H69" s="1">
        <f>30</f>
        <v>30</v>
      </c>
      <c r="I69" s="1"/>
      <c r="J69" s="1"/>
      <c r="K69" s="1"/>
      <c r="L69" s="1"/>
      <c r="M69" s="1"/>
      <c r="N69" s="3">
        <f>195544+217872</f>
        <v>413416</v>
      </c>
      <c r="O69" s="3"/>
      <c r="P69" s="4">
        <f t="shared" si="0"/>
        <v>413416</v>
      </c>
    </row>
    <row r="70" spans="1:18" x14ac:dyDescent="0.25">
      <c r="A70" s="1">
        <v>66</v>
      </c>
      <c r="B70" s="5" t="s">
        <v>125</v>
      </c>
      <c r="C70" s="2" t="s">
        <v>126</v>
      </c>
      <c r="D70" s="1">
        <v>500</v>
      </c>
      <c r="E70" s="1">
        <v>160</v>
      </c>
      <c r="F70" s="1"/>
      <c r="G70" s="1"/>
      <c r="H70" s="1">
        <v>40</v>
      </c>
      <c r="I70" s="1"/>
      <c r="J70" s="1"/>
      <c r="K70" s="1"/>
      <c r="L70" s="1"/>
      <c r="M70" s="1"/>
      <c r="N70" s="3">
        <v>247215</v>
      </c>
      <c r="O70" s="3"/>
      <c r="P70" s="4">
        <f t="shared" si="0"/>
        <v>247215</v>
      </c>
    </row>
    <row r="71" spans="1:18" x14ac:dyDescent="0.25">
      <c r="A71" s="1">
        <v>67</v>
      </c>
      <c r="B71" s="2" t="s">
        <v>127</v>
      </c>
      <c r="C71" s="2" t="s">
        <v>128</v>
      </c>
      <c r="D71" s="1">
        <v>435</v>
      </c>
      <c r="E71" s="1">
        <v>180</v>
      </c>
      <c r="F71" s="1"/>
      <c r="G71" s="1"/>
      <c r="H71" s="1">
        <v>5</v>
      </c>
      <c r="I71" s="1"/>
      <c r="J71" s="1"/>
      <c r="K71" s="1"/>
      <c r="L71" s="1"/>
      <c r="M71" s="1"/>
      <c r="N71" s="3">
        <v>179572</v>
      </c>
      <c r="O71" s="3"/>
      <c r="P71" s="4">
        <f t="shared" si="0"/>
        <v>179572</v>
      </c>
    </row>
    <row r="72" spans="1:18" x14ac:dyDescent="0.25">
      <c r="A72" s="1">
        <v>68</v>
      </c>
      <c r="B72" s="5" t="s">
        <v>131</v>
      </c>
      <c r="C72" s="5" t="s">
        <v>132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3"/>
      <c r="O72" s="3"/>
      <c r="P72" s="4">
        <f t="shared" si="0"/>
        <v>0</v>
      </c>
    </row>
    <row r="73" spans="1:18" x14ac:dyDescent="0.25">
      <c r="A73" s="1">
        <v>69</v>
      </c>
      <c r="B73" s="2" t="s">
        <v>133</v>
      </c>
      <c r="C73" s="2" t="s">
        <v>132</v>
      </c>
      <c r="D73" s="1">
        <f>385</f>
        <v>385</v>
      </c>
      <c r="E73" s="1"/>
      <c r="F73" s="1"/>
      <c r="G73" s="1"/>
      <c r="H73" s="1"/>
      <c r="I73" s="1"/>
      <c r="J73" s="1"/>
      <c r="K73" s="1"/>
      <c r="L73" s="1"/>
      <c r="M73" s="1"/>
      <c r="N73" s="3">
        <f>64809</f>
        <v>64809</v>
      </c>
      <c r="O73" s="3"/>
      <c r="P73" s="4">
        <f t="shared" si="0"/>
        <v>64809</v>
      </c>
    </row>
    <row r="74" spans="1:18" x14ac:dyDescent="0.25">
      <c r="A74" s="1">
        <v>70</v>
      </c>
      <c r="B74" s="9" t="s">
        <v>134</v>
      </c>
      <c r="C74" s="2" t="s">
        <v>135</v>
      </c>
      <c r="D74" s="1">
        <f>700</f>
        <v>700</v>
      </c>
      <c r="E74" s="1"/>
      <c r="F74" s="1"/>
      <c r="G74" s="1"/>
      <c r="H74" s="1">
        <f>80</f>
        <v>80</v>
      </c>
      <c r="I74" s="1"/>
      <c r="J74" s="1">
        <f>25</f>
        <v>25</v>
      </c>
      <c r="K74" s="1">
        <f>10</f>
        <v>10</v>
      </c>
      <c r="L74" s="1">
        <f>25</f>
        <v>25</v>
      </c>
      <c r="M74" s="1">
        <f>10</f>
        <v>10</v>
      </c>
      <c r="N74" s="3">
        <f>250324</f>
        <v>250324</v>
      </c>
      <c r="O74" s="3">
        <f>49801</f>
        <v>49801</v>
      </c>
      <c r="P74" s="4">
        <f t="shared" si="0"/>
        <v>300125</v>
      </c>
    </row>
    <row r="75" spans="1:18" x14ac:dyDescent="0.25">
      <c r="A75" s="1">
        <v>71</v>
      </c>
      <c r="B75" s="9" t="s">
        <v>138</v>
      </c>
      <c r="C75" s="2" t="s">
        <v>139</v>
      </c>
      <c r="D75" s="1">
        <f>500+500</f>
        <v>1000</v>
      </c>
      <c r="E75" s="1"/>
      <c r="F75" s="1"/>
      <c r="G75" s="1"/>
      <c r="H75" s="1"/>
      <c r="I75" s="1"/>
      <c r="J75" s="1"/>
      <c r="K75" s="1"/>
      <c r="L75" s="1"/>
      <c r="M75" s="1"/>
      <c r="N75" s="3">
        <f>129843+129843</f>
        <v>259686</v>
      </c>
      <c r="O75" s="3"/>
      <c r="P75" s="4">
        <f t="shared" si="0"/>
        <v>259686</v>
      </c>
    </row>
    <row r="76" spans="1:18" x14ac:dyDescent="0.25">
      <c r="A76" s="1">
        <v>72</v>
      </c>
      <c r="B76" s="9" t="s">
        <v>142</v>
      </c>
      <c r="C76" s="2" t="s">
        <v>143</v>
      </c>
      <c r="D76" s="1">
        <v>121</v>
      </c>
      <c r="E76" s="1">
        <v>25</v>
      </c>
      <c r="F76" s="1">
        <v>10</v>
      </c>
      <c r="G76" s="1">
        <v>4</v>
      </c>
      <c r="H76" s="1">
        <v>40</v>
      </c>
      <c r="I76" s="1"/>
      <c r="J76" s="1"/>
      <c r="K76" s="1">
        <v>2</v>
      </c>
      <c r="L76" s="1"/>
      <c r="M76" s="1">
        <v>2</v>
      </c>
      <c r="N76" s="3">
        <v>95057</v>
      </c>
      <c r="O76" s="3">
        <v>3670</v>
      </c>
      <c r="P76" s="4">
        <f t="shared" si="0"/>
        <v>98727</v>
      </c>
    </row>
    <row r="77" spans="1:18" x14ac:dyDescent="0.25">
      <c r="A77" s="1">
        <v>73</v>
      </c>
      <c r="B77" s="5" t="s">
        <v>146</v>
      </c>
      <c r="C77" s="2" t="s">
        <v>147</v>
      </c>
      <c r="D77" s="1">
        <f>23+60+80+72</f>
        <v>235</v>
      </c>
      <c r="E77" s="1">
        <f>10+20+25</f>
        <v>55</v>
      </c>
      <c r="F77" s="1">
        <f>2+5+2</f>
        <v>9</v>
      </c>
      <c r="G77" s="1"/>
      <c r="H77" s="1">
        <f>15+25+20</f>
        <v>60</v>
      </c>
      <c r="I77" s="1"/>
      <c r="J77" s="1">
        <f>2+2</f>
        <v>4</v>
      </c>
      <c r="K77" s="1">
        <f>2+1</f>
        <v>3</v>
      </c>
      <c r="L77" s="1">
        <f>2+2+2</f>
        <v>6</v>
      </c>
      <c r="M77" s="1">
        <f>1+1</f>
        <v>2</v>
      </c>
      <c r="N77" s="3">
        <f>27291+54810+53938+21648</f>
        <v>157687</v>
      </c>
      <c r="O77" s="3">
        <f>5437+1835+1342+2685</f>
        <v>11299</v>
      </c>
      <c r="P77" s="4">
        <f t="shared" si="0"/>
        <v>168986</v>
      </c>
    </row>
    <row r="78" spans="1:18" x14ac:dyDescent="0.25">
      <c r="A78" s="1">
        <v>74</v>
      </c>
      <c r="B78" s="5" t="s">
        <v>148</v>
      </c>
      <c r="C78" s="2" t="s">
        <v>149</v>
      </c>
      <c r="D78" s="1">
        <f>150+155</f>
        <v>305</v>
      </c>
      <c r="E78" s="1">
        <v>5</v>
      </c>
      <c r="F78" s="1"/>
      <c r="G78" s="1">
        <f>3</f>
        <v>3</v>
      </c>
      <c r="H78" s="1">
        <f>10</f>
        <v>10</v>
      </c>
      <c r="I78" s="1"/>
      <c r="J78" s="1"/>
      <c r="K78" s="1"/>
      <c r="L78" s="1"/>
      <c r="M78" s="1"/>
      <c r="N78" s="3">
        <f>52234+45405</f>
        <v>97639</v>
      </c>
      <c r="O78" s="3"/>
      <c r="P78" s="4">
        <f t="shared" si="0"/>
        <v>97639</v>
      </c>
    </row>
    <row r="79" spans="1:18" ht="15.75" thickBot="1" x14ac:dyDescent="0.3">
      <c r="A79" s="1">
        <v>75</v>
      </c>
      <c r="B79" s="10" t="s">
        <v>223</v>
      </c>
      <c r="C79" s="11" t="s">
        <v>224</v>
      </c>
      <c r="D79" s="12">
        <f>80</f>
        <v>80</v>
      </c>
      <c r="E79" s="12">
        <f>10</f>
        <v>10</v>
      </c>
      <c r="F79" s="12">
        <f>5</f>
        <v>5</v>
      </c>
      <c r="G79" s="12">
        <f>2</f>
        <v>2</v>
      </c>
      <c r="H79" s="12">
        <f>15</f>
        <v>15</v>
      </c>
      <c r="I79" s="12"/>
      <c r="J79" s="12">
        <f>2</f>
        <v>2</v>
      </c>
      <c r="K79" s="12">
        <f>1</f>
        <v>1</v>
      </c>
      <c r="L79" s="12">
        <f>2</f>
        <v>2</v>
      </c>
      <c r="M79" s="12">
        <f>1</f>
        <v>1</v>
      </c>
      <c r="N79" s="13">
        <f>46977</f>
        <v>46977</v>
      </c>
      <c r="O79" s="13">
        <f>4520</f>
        <v>4520</v>
      </c>
      <c r="P79" s="32">
        <f t="shared" si="0"/>
        <v>51497</v>
      </c>
    </row>
    <row r="80" spans="1:18" ht="15.75" thickBot="1" x14ac:dyDescent="0.3">
      <c r="A80" s="39" t="s">
        <v>150</v>
      </c>
      <c r="B80" s="40"/>
      <c r="C80" s="24"/>
      <c r="D80" s="25">
        <f t="shared" ref="D80:P80" si="1">SUM(D5:D79)</f>
        <v>70504</v>
      </c>
      <c r="E80" s="25">
        <f t="shared" si="1"/>
        <v>16705</v>
      </c>
      <c r="F80" s="25">
        <f t="shared" si="1"/>
        <v>731</v>
      </c>
      <c r="G80" s="25">
        <f t="shared" si="1"/>
        <v>267</v>
      </c>
      <c r="H80" s="25">
        <f t="shared" si="1"/>
        <v>4175</v>
      </c>
      <c r="I80" s="25">
        <f t="shared" si="1"/>
        <v>582</v>
      </c>
      <c r="J80" s="25">
        <f t="shared" si="1"/>
        <v>345</v>
      </c>
      <c r="K80" s="25">
        <f t="shared" si="1"/>
        <v>130</v>
      </c>
      <c r="L80" s="25">
        <f t="shared" si="1"/>
        <v>401</v>
      </c>
      <c r="M80" s="25">
        <f t="shared" si="1"/>
        <v>142</v>
      </c>
      <c r="N80" s="26">
        <f t="shared" si="1"/>
        <v>32766618</v>
      </c>
      <c r="O80" s="26">
        <f t="shared" si="1"/>
        <v>719914</v>
      </c>
      <c r="P80" s="26">
        <f t="shared" si="1"/>
        <v>33486532</v>
      </c>
      <c r="R80" s="31"/>
    </row>
  </sheetData>
  <mergeCells count="3">
    <mergeCell ref="A1:P1"/>
    <mergeCell ref="A2:P2"/>
    <mergeCell ref="A80:B80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E0A3-6989-47C9-80C2-49D08B599A40}">
  <dimension ref="A1:P83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1" sqref="N21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15.5703125" bestFit="1" customWidth="1"/>
    <col min="4" max="4" width="8.42578125" style="14" customWidth="1"/>
    <col min="5" max="5" width="9" style="14" customWidth="1"/>
    <col min="6" max="6" width="8.42578125" style="14" customWidth="1"/>
    <col min="7" max="9" width="8.7109375" style="14" customWidth="1"/>
    <col min="10" max="11" width="9" style="14" customWidth="1"/>
    <col min="12" max="12" width="8.7109375" style="14" customWidth="1"/>
    <col min="13" max="13" width="8.28515625" style="14" customWidth="1"/>
    <col min="14" max="14" width="14.140625" style="14" customWidth="1"/>
    <col min="15" max="15" width="12.5703125" style="14" customWidth="1"/>
    <col min="16" max="16" width="14.140625" bestFit="1" customWidth="1"/>
  </cols>
  <sheetData>
    <row r="1" spans="1:16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9.5" thickBot="1" x14ac:dyDescent="0.35">
      <c r="A2" s="38" t="s">
        <v>226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63.75" thickBot="1" x14ac:dyDescent="0.3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25</v>
      </c>
      <c r="O3" s="18" t="s">
        <v>26</v>
      </c>
      <c r="P3" s="19" t="s">
        <v>28</v>
      </c>
    </row>
    <row r="4" spans="1:16" ht="15.75" thickBot="1" x14ac:dyDescent="0.3">
      <c r="A4" s="20"/>
      <c r="B4" s="21"/>
      <c r="C4" s="21"/>
      <c r="D4" s="22" t="s">
        <v>29</v>
      </c>
      <c r="E4" s="22" t="s">
        <v>30</v>
      </c>
      <c r="F4" s="22" t="s">
        <v>32</v>
      </c>
      <c r="G4" s="22" t="s">
        <v>33</v>
      </c>
      <c r="H4" s="22" t="s">
        <v>34</v>
      </c>
      <c r="I4" s="22" t="s">
        <v>35</v>
      </c>
      <c r="J4" s="22" t="s">
        <v>36</v>
      </c>
      <c r="K4" s="22" t="s">
        <v>29</v>
      </c>
      <c r="L4" s="22" t="s">
        <v>36</v>
      </c>
      <c r="M4" s="22" t="s">
        <v>29</v>
      </c>
      <c r="N4" s="22"/>
      <c r="O4" s="22"/>
      <c r="P4" s="23"/>
    </row>
    <row r="5" spans="1:16" x14ac:dyDescent="0.25">
      <c r="A5" s="1">
        <v>1</v>
      </c>
      <c r="B5" s="2" t="s">
        <v>39</v>
      </c>
      <c r="C5" s="2" t="s">
        <v>40</v>
      </c>
      <c r="D5" s="1">
        <f>1040+1050+1100+1125+1250</f>
        <v>5565</v>
      </c>
      <c r="E5" s="1">
        <f>170+220+160+150+150</f>
        <v>850</v>
      </c>
      <c r="F5" s="1">
        <f>10</f>
        <v>10</v>
      </c>
      <c r="G5" s="1"/>
      <c r="H5" s="1">
        <f>40+30+30+25</f>
        <v>125</v>
      </c>
      <c r="I5" s="1"/>
      <c r="J5" s="1">
        <f>10</f>
        <v>10</v>
      </c>
      <c r="K5" s="1">
        <f>4+5</f>
        <v>9</v>
      </c>
      <c r="L5" s="1">
        <f>5+5</f>
        <v>10</v>
      </c>
      <c r="M5" s="1">
        <f>5+5</f>
        <v>10</v>
      </c>
      <c r="N5" s="3">
        <f>392638+412636+403114+391472+402513</f>
        <v>2002373</v>
      </c>
      <c r="O5" s="3">
        <f>7787+3250+18401</f>
        <v>29438</v>
      </c>
      <c r="P5" s="4">
        <f>N5+O5</f>
        <v>2031811</v>
      </c>
    </row>
    <row r="6" spans="1:16" x14ac:dyDescent="0.25">
      <c r="A6" s="1">
        <v>2</v>
      </c>
      <c r="B6" s="2" t="s">
        <v>41</v>
      </c>
      <c r="C6" s="2" t="s">
        <v>42</v>
      </c>
      <c r="D6" s="1">
        <f>740+1170+1000+1500+1110+1650+1000+925+1795+1400+1350+1000+935</f>
        <v>15575</v>
      </c>
      <c r="E6" s="1">
        <f>250+150+150+100+50+200+200+100+40+100+200+150</f>
        <v>1690</v>
      </c>
      <c r="F6" s="1"/>
      <c r="G6" s="1"/>
      <c r="H6" s="1">
        <f>10+130+100+40+50+75+10+50+15</f>
        <v>480</v>
      </c>
      <c r="I6" s="1"/>
      <c r="J6" s="1">
        <f>4</f>
        <v>4</v>
      </c>
      <c r="K6" s="1">
        <f>4</f>
        <v>4</v>
      </c>
      <c r="L6" s="1">
        <f>4</f>
        <v>4</v>
      </c>
      <c r="M6" s="1">
        <f>4</f>
        <v>4</v>
      </c>
      <c r="N6" s="3">
        <f>330579+493122+423272+441466+348492+428482+406400+408344+518074+392903+402513+406400+333564</f>
        <v>5333611</v>
      </c>
      <c r="O6" s="3">
        <f>5200+6922</f>
        <v>12122</v>
      </c>
      <c r="P6" s="4">
        <f t="shared" ref="P6:P82" si="0">N6+O6</f>
        <v>5345733</v>
      </c>
    </row>
    <row r="7" spans="1:16" x14ac:dyDescent="0.25">
      <c r="A7" s="1">
        <v>3</v>
      </c>
      <c r="B7" s="5" t="s">
        <v>43</v>
      </c>
      <c r="C7" s="2" t="s">
        <v>44</v>
      </c>
      <c r="D7" s="1">
        <f>700+895</f>
        <v>1595</v>
      </c>
      <c r="E7" s="1">
        <f>150+80</f>
        <v>230</v>
      </c>
      <c r="F7" s="1"/>
      <c r="G7" s="1"/>
      <c r="H7" s="1">
        <f>50+25</f>
        <v>75</v>
      </c>
      <c r="I7" s="1"/>
      <c r="J7" s="1">
        <f>5+5</f>
        <v>10</v>
      </c>
      <c r="K7" s="1"/>
      <c r="L7" s="1">
        <f>5+5</f>
        <v>10</v>
      </c>
      <c r="M7" s="1">
        <f>5</f>
        <v>5</v>
      </c>
      <c r="N7" s="3">
        <f>302526+295388</f>
        <v>597914</v>
      </c>
      <c r="O7" s="3">
        <f>6499+10826</f>
        <v>17325</v>
      </c>
      <c r="P7" s="4">
        <f t="shared" si="0"/>
        <v>615239</v>
      </c>
    </row>
    <row r="8" spans="1:16" x14ac:dyDescent="0.25">
      <c r="A8" s="1">
        <v>4</v>
      </c>
      <c r="B8" s="2" t="s">
        <v>45</v>
      </c>
      <c r="C8" s="2" t="s">
        <v>46</v>
      </c>
      <c r="D8" s="1">
        <f>550+500</f>
        <v>1050</v>
      </c>
      <c r="E8" s="1">
        <f>160+150</f>
        <v>310</v>
      </c>
      <c r="F8" s="1">
        <v>5</v>
      </c>
      <c r="G8" s="1">
        <f>20+30</f>
        <v>50</v>
      </c>
      <c r="H8" s="1">
        <f>70+78</f>
        <v>148</v>
      </c>
      <c r="I8" s="1"/>
      <c r="J8" s="1"/>
      <c r="K8" s="1"/>
      <c r="L8" s="1"/>
      <c r="M8" s="1"/>
      <c r="N8" s="3">
        <f>298019+297082</f>
        <v>595101</v>
      </c>
      <c r="O8" s="3"/>
      <c r="P8" s="4">
        <f t="shared" si="0"/>
        <v>595101</v>
      </c>
    </row>
    <row r="9" spans="1:16" x14ac:dyDescent="0.25">
      <c r="A9" s="1">
        <v>5</v>
      </c>
      <c r="B9" s="2" t="s">
        <v>47</v>
      </c>
      <c r="C9" s="2" t="s">
        <v>48</v>
      </c>
      <c r="D9" s="1">
        <f>970+740</f>
        <v>1710</v>
      </c>
      <c r="E9" s="1">
        <f>50+80</f>
        <v>130</v>
      </c>
      <c r="F9" s="1"/>
      <c r="G9" s="1"/>
      <c r="H9" s="1">
        <f>30+80</f>
        <v>110</v>
      </c>
      <c r="I9" s="1"/>
      <c r="J9" s="1"/>
      <c r="K9" s="1"/>
      <c r="L9" s="1"/>
      <c r="M9" s="1"/>
      <c r="N9" s="3">
        <f>303568+302261</f>
        <v>605829</v>
      </c>
      <c r="O9" s="3"/>
      <c r="P9" s="4">
        <f t="shared" si="0"/>
        <v>605829</v>
      </c>
    </row>
    <row r="10" spans="1:16" x14ac:dyDescent="0.25">
      <c r="A10" s="1">
        <v>6</v>
      </c>
      <c r="B10" s="2" t="s">
        <v>199</v>
      </c>
      <c r="C10" s="2" t="s">
        <v>200</v>
      </c>
      <c r="D10" s="1">
        <f>650+780+1000</f>
        <v>2430</v>
      </c>
      <c r="E10" s="1">
        <f>250+100+100</f>
        <v>450</v>
      </c>
      <c r="F10" s="1"/>
      <c r="G10" s="1"/>
      <c r="H10" s="1">
        <f>50</f>
        <v>50</v>
      </c>
      <c r="I10" s="1"/>
      <c r="J10" s="1"/>
      <c r="K10" s="1"/>
      <c r="L10" s="1"/>
      <c r="M10" s="1"/>
      <c r="N10" s="3">
        <f>298639+297332+311623</f>
        <v>907594</v>
      </c>
      <c r="O10" s="3"/>
      <c r="P10" s="4">
        <f t="shared" si="0"/>
        <v>907594</v>
      </c>
    </row>
    <row r="11" spans="1:16" x14ac:dyDescent="0.25">
      <c r="A11" s="1">
        <v>7</v>
      </c>
      <c r="B11" s="2" t="s">
        <v>49</v>
      </c>
      <c r="C11" s="2" t="s">
        <v>50</v>
      </c>
      <c r="D11" s="1">
        <f>740+1370</f>
        <v>2110</v>
      </c>
      <c r="E11" s="1">
        <f>80+150</f>
        <v>230</v>
      </c>
      <c r="F11" s="1">
        <f>5</f>
        <v>5</v>
      </c>
      <c r="G11" s="1"/>
      <c r="H11" s="1">
        <f>80+50</f>
        <v>130</v>
      </c>
      <c r="I11" s="1"/>
      <c r="J11" s="1"/>
      <c r="K11" s="1"/>
      <c r="L11" s="1">
        <v>10</v>
      </c>
      <c r="M11" s="1">
        <v>10</v>
      </c>
      <c r="N11" s="3">
        <f>302261+480844</f>
        <v>783105</v>
      </c>
      <c r="O11" s="3">
        <v>15151</v>
      </c>
      <c r="P11" s="4">
        <f t="shared" si="0"/>
        <v>798256</v>
      </c>
    </row>
    <row r="12" spans="1:16" x14ac:dyDescent="0.25">
      <c r="A12" s="1">
        <v>8</v>
      </c>
      <c r="B12" s="2" t="s">
        <v>195</v>
      </c>
      <c r="C12" s="2" t="s">
        <v>196</v>
      </c>
      <c r="D12" s="1">
        <f>610</f>
        <v>610</v>
      </c>
      <c r="E12" s="1">
        <f>100</f>
        <v>100</v>
      </c>
      <c r="F12" s="1"/>
      <c r="G12" s="1"/>
      <c r="H12" s="1">
        <f>40</f>
        <v>40</v>
      </c>
      <c r="I12" s="1"/>
      <c r="J12" s="1">
        <f>23</f>
        <v>23</v>
      </c>
      <c r="K12" s="1">
        <f>15</f>
        <v>15</v>
      </c>
      <c r="L12" s="1">
        <f>25</f>
        <v>25</v>
      </c>
      <c r="M12" s="1">
        <f>15</f>
        <v>15</v>
      </c>
      <c r="N12" s="3">
        <f>244617</f>
        <v>244617</v>
      </c>
      <c r="O12" s="3">
        <f>57153</f>
        <v>57153</v>
      </c>
      <c r="P12" s="4">
        <f t="shared" si="0"/>
        <v>301770</v>
      </c>
    </row>
    <row r="13" spans="1:16" x14ac:dyDescent="0.25">
      <c r="A13" s="1">
        <v>9</v>
      </c>
      <c r="B13" s="6" t="s">
        <v>53</v>
      </c>
      <c r="C13" s="2" t="s">
        <v>54</v>
      </c>
      <c r="D13" s="1">
        <f>750+685</f>
        <v>1435</v>
      </c>
      <c r="E13" s="1">
        <f>275+195</f>
        <v>470</v>
      </c>
      <c r="F13" s="1"/>
      <c r="G13" s="1"/>
      <c r="H13" s="1">
        <f>75+25</f>
        <v>100</v>
      </c>
      <c r="I13" s="1"/>
      <c r="J13" s="1"/>
      <c r="K13" s="1"/>
      <c r="L13" s="1"/>
      <c r="M13" s="1"/>
      <c r="N13" s="3">
        <f>401852+300582</f>
        <v>702434</v>
      </c>
      <c r="O13" s="3"/>
      <c r="P13" s="4">
        <f t="shared" si="0"/>
        <v>702434</v>
      </c>
    </row>
    <row r="14" spans="1:16" x14ac:dyDescent="0.25">
      <c r="A14" s="1">
        <v>10</v>
      </c>
      <c r="B14" s="6" t="s">
        <v>203</v>
      </c>
      <c r="C14" s="2" t="s">
        <v>204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3"/>
      <c r="O14" s="3"/>
      <c r="P14" s="4">
        <f t="shared" si="0"/>
        <v>0</v>
      </c>
    </row>
    <row r="15" spans="1:16" x14ac:dyDescent="0.25">
      <c r="A15" s="1">
        <v>11</v>
      </c>
      <c r="B15" s="2" t="s">
        <v>55</v>
      </c>
      <c r="C15" s="2" t="s">
        <v>56</v>
      </c>
      <c r="D15" s="1">
        <v>630</v>
      </c>
      <c r="E15" s="1">
        <v>150</v>
      </c>
      <c r="F15" s="1">
        <v>30</v>
      </c>
      <c r="G15" s="1"/>
      <c r="H15" s="1">
        <v>40</v>
      </c>
      <c r="I15" s="1"/>
      <c r="J15" s="1"/>
      <c r="K15" s="1"/>
      <c r="L15" s="1"/>
      <c r="M15" s="1"/>
      <c r="N15" s="3">
        <v>301749</v>
      </c>
      <c r="O15" s="3"/>
      <c r="P15" s="4">
        <f t="shared" si="0"/>
        <v>301749</v>
      </c>
    </row>
    <row r="16" spans="1:16" x14ac:dyDescent="0.25">
      <c r="A16" s="1">
        <v>12</v>
      </c>
      <c r="B16" s="2" t="s">
        <v>160</v>
      </c>
      <c r="C16" s="2" t="s">
        <v>161</v>
      </c>
      <c r="D16" s="1">
        <v>915</v>
      </c>
      <c r="E16" s="1">
        <v>150</v>
      </c>
      <c r="F16" s="1">
        <v>10</v>
      </c>
      <c r="G16" s="1">
        <v>25</v>
      </c>
      <c r="H16" s="1">
        <v>50</v>
      </c>
      <c r="I16" s="1"/>
      <c r="J16" s="1">
        <v>5</v>
      </c>
      <c r="K16" s="1">
        <v>5</v>
      </c>
      <c r="L16" s="1"/>
      <c r="M16" s="1">
        <v>5</v>
      </c>
      <c r="N16" s="3">
        <v>382159</v>
      </c>
      <c r="O16" s="3">
        <v>11902</v>
      </c>
      <c r="P16" s="4">
        <f t="shared" si="0"/>
        <v>394061</v>
      </c>
    </row>
    <row r="17" spans="1:16" x14ac:dyDescent="0.25">
      <c r="A17" s="1">
        <v>13</v>
      </c>
      <c r="B17" s="2" t="s">
        <v>59</v>
      </c>
      <c r="C17" s="2" t="s">
        <v>60</v>
      </c>
      <c r="D17" s="1">
        <f>480</f>
        <v>480</v>
      </c>
      <c r="E17" s="1">
        <f>100</f>
        <v>100</v>
      </c>
      <c r="F17" s="1">
        <f>70</f>
        <v>70</v>
      </c>
      <c r="G17" s="1"/>
      <c r="H17" s="1">
        <f>50</f>
        <v>50</v>
      </c>
      <c r="I17" s="1"/>
      <c r="J17" s="1">
        <f>5</f>
        <v>5</v>
      </c>
      <c r="K17" s="1">
        <f>5</f>
        <v>5</v>
      </c>
      <c r="L17" s="1">
        <f>5</f>
        <v>5</v>
      </c>
      <c r="M17" s="1">
        <f>5</f>
        <v>5</v>
      </c>
      <c r="N17" s="3">
        <f>280019</f>
        <v>280019</v>
      </c>
      <c r="O17" s="3">
        <f>15152</f>
        <v>15152</v>
      </c>
      <c r="P17" s="4">
        <f t="shared" si="0"/>
        <v>295171</v>
      </c>
    </row>
    <row r="18" spans="1:16" x14ac:dyDescent="0.25">
      <c r="A18" s="1">
        <v>14</v>
      </c>
      <c r="B18" s="2" t="s">
        <v>61</v>
      </c>
      <c r="C18" s="2" t="s">
        <v>62</v>
      </c>
      <c r="D18" s="1">
        <f>575+1100</f>
        <v>1675</v>
      </c>
      <c r="E18" s="1">
        <f>200+200</f>
        <v>400</v>
      </c>
      <c r="F18" s="1">
        <f>20</f>
        <v>20</v>
      </c>
      <c r="G18" s="1">
        <f>10</f>
        <v>10</v>
      </c>
      <c r="H18" s="1">
        <f>170+50</f>
        <v>220</v>
      </c>
      <c r="I18" s="1"/>
      <c r="J18" s="1">
        <v>5</v>
      </c>
      <c r="K18" s="1"/>
      <c r="L18" s="1">
        <f>5+5</f>
        <v>10</v>
      </c>
      <c r="M18" s="1"/>
      <c r="N18" s="3">
        <f>422221+432369</f>
        <v>854590</v>
      </c>
      <c r="O18" s="3">
        <f>6499+3250</f>
        <v>9749</v>
      </c>
      <c r="P18" s="4">
        <f t="shared" si="0"/>
        <v>864339</v>
      </c>
    </row>
    <row r="19" spans="1:16" x14ac:dyDescent="0.25">
      <c r="A19" s="1">
        <v>15</v>
      </c>
      <c r="B19" s="2" t="s">
        <v>63</v>
      </c>
      <c r="C19" s="2" t="s">
        <v>64</v>
      </c>
      <c r="D19" s="1">
        <f>895+890</f>
        <v>1785</v>
      </c>
      <c r="E19" s="1">
        <f>90+65</f>
        <v>155</v>
      </c>
      <c r="F19" s="1">
        <f>15</f>
        <v>15</v>
      </c>
      <c r="G19" s="1">
        <f>5</f>
        <v>5</v>
      </c>
      <c r="H19" s="1">
        <v>15</v>
      </c>
      <c r="I19" s="1"/>
      <c r="J19" s="1">
        <f>5+15</f>
        <v>20</v>
      </c>
      <c r="K19" s="1"/>
      <c r="L19" s="1">
        <f>10+15</f>
        <v>25</v>
      </c>
      <c r="M19" s="1"/>
      <c r="N19" s="3">
        <f>292015+280893</f>
        <v>572908</v>
      </c>
      <c r="O19" s="3">
        <f>9749+19498</f>
        <v>29247</v>
      </c>
      <c r="P19" s="4">
        <f t="shared" si="0"/>
        <v>602155</v>
      </c>
    </row>
    <row r="20" spans="1:16" x14ac:dyDescent="0.25">
      <c r="A20" s="1">
        <v>16</v>
      </c>
      <c r="B20" s="6" t="s">
        <v>65</v>
      </c>
      <c r="C20" s="2" t="s">
        <v>66</v>
      </c>
      <c r="D20" s="1">
        <f>1030+1100+980</f>
        <v>3110</v>
      </c>
      <c r="E20" s="1">
        <f>150+200+200</f>
        <v>550</v>
      </c>
      <c r="F20" s="1">
        <f>20+20+20</f>
        <v>60</v>
      </c>
      <c r="G20" s="1"/>
      <c r="H20" s="1">
        <f>100+50</f>
        <v>150</v>
      </c>
      <c r="I20" s="1"/>
      <c r="J20" s="1">
        <f>8</f>
        <v>8</v>
      </c>
      <c r="K20" s="1">
        <f>4</f>
        <v>4</v>
      </c>
      <c r="L20" s="1">
        <f>8+4</f>
        <v>12</v>
      </c>
      <c r="M20" s="1">
        <f>4+3</f>
        <v>7</v>
      </c>
      <c r="N20" s="3">
        <f>448374+406841+418519</f>
        <v>1273734</v>
      </c>
      <c r="O20" s="3">
        <f>17321+5195</f>
        <v>22516</v>
      </c>
      <c r="P20" s="4">
        <f t="shared" si="0"/>
        <v>1296250</v>
      </c>
    </row>
    <row r="21" spans="1:16" x14ac:dyDescent="0.25">
      <c r="A21" s="1">
        <v>17</v>
      </c>
      <c r="B21" s="6" t="s">
        <v>67</v>
      </c>
      <c r="C21" s="2" t="s">
        <v>68</v>
      </c>
      <c r="D21" s="1">
        <f>525</f>
        <v>525</v>
      </c>
      <c r="E21" s="1">
        <f>300</f>
        <v>300</v>
      </c>
      <c r="F21" s="1"/>
      <c r="G21" s="1"/>
      <c r="H21" s="1">
        <f>25</f>
        <v>25</v>
      </c>
      <c r="I21" s="1"/>
      <c r="J21" s="1">
        <f>25</f>
        <v>25</v>
      </c>
      <c r="K21" s="1"/>
      <c r="L21" s="1"/>
      <c r="M21" s="1"/>
      <c r="N21" s="3">
        <f>301334</f>
        <v>301334</v>
      </c>
      <c r="O21" s="3">
        <f>16028</f>
        <v>16028</v>
      </c>
      <c r="P21" s="4">
        <f t="shared" si="0"/>
        <v>317362</v>
      </c>
    </row>
    <row r="22" spans="1:16" x14ac:dyDescent="0.25">
      <c r="A22" s="1">
        <v>18</v>
      </c>
      <c r="B22" s="6" t="s">
        <v>178</v>
      </c>
      <c r="C22" s="2" t="s">
        <v>70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3"/>
      <c r="O22" s="3"/>
      <c r="P22" s="4">
        <f t="shared" si="0"/>
        <v>0</v>
      </c>
    </row>
    <row r="23" spans="1:16" x14ac:dyDescent="0.25">
      <c r="A23" s="1">
        <v>19</v>
      </c>
      <c r="B23" s="6" t="s">
        <v>194</v>
      </c>
      <c r="C23" s="2" t="s">
        <v>172</v>
      </c>
      <c r="D23" s="1">
        <v>400</v>
      </c>
      <c r="E23" s="1">
        <v>350</v>
      </c>
      <c r="F23" s="1"/>
      <c r="G23" s="1"/>
      <c r="H23" s="1"/>
      <c r="I23" s="1"/>
      <c r="J23" s="1"/>
      <c r="K23" s="1"/>
      <c r="L23" s="1">
        <v>20</v>
      </c>
      <c r="M23" s="1"/>
      <c r="N23" s="3">
        <v>285654</v>
      </c>
      <c r="O23" s="3">
        <v>12999</v>
      </c>
      <c r="P23" s="4">
        <f t="shared" si="0"/>
        <v>298653</v>
      </c>
    </row>
    <row r="24" spans="1:16" x14ac:dyDescent="0.25">
      <c r="A24" s="1">
        <v>20</v>
      </c>
      <c r="B24" s="6" t="s">
        <v>191</v>
      </c>
      <c r="C24" s="2" t="s">
        <v>192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  <c r="O24" s="3"/>
      <c r="P24" s="4">
        <f t="shared" si="0"/>
        <v>0</v>
      </c>
    </row>
    <row r="25" spans="1:16" x14ac:dyDescent="0.25">
      <c r="A25" s="1">
        <v>21</v>
      </c>
      <c r="B25" s="6" t="s">
        <v>229</v>
      </c>
      <c r="C25" s="2" t="s">
        <v>230</v>
      </c>
      <c r="D25" s="1">
        <v>400</v>
      </c>
      <c r="E25" s="1">
        <v>210</v>
      </c>
      <c r="F25" s="1">
        <v>40</v>
      </c>
      <c r="G25" s="1"/>
      <c r="H25" s="1">
        <v>100</v>
      </c>
      <c r="I25" s="1"/>
      <c r="J25" s="1">
        <v>10</v>
      </c>
      <c r="K25" s="1">
        <v>10</v>
      </c>
      <c r="L25" s="1">
        <v>10</v>
      </c>
      <c r="M25" s="1">
        <v>10</v>
      </c>
      <c r="N25" s="3">
        <v>333247</v>
      </c>
      <c r="O25" s="3">
        <v>30303</v>
      </c>
      <c r="P25" s="4">
        <f t="shared" si="0"/>
        <v>363550</v>
      </c>
    </row>
    <row r="26" spans="1:16" x14ac:dyDescent="0.25">
      <c r="A26" s="1">
        <v>22</v>
      </c>
      <c r="B26" s="2" t="s">
        <v>71</v>
      </c>
      <c r="C26" s="2" t="s">
        <v>72</v>
      </c>
      <c r="D26" s="1">
        <f>580+675</f>
        <v>1255</v>
      </c>
      <c r="E26" s="1">
        <f>360+360</f>
        <v>720</v>
      </c>
      <c r="F26" s="1">
        <f>70+40</f>
        <v>110</v>
      </c>
      <c r="G26" s="1">
        <f>70+35</f>
        <v>105</v>
      </c>
      <c r="H26" s="1">
        <f>20+40</f>
        <v>60</v>
      </c>
      <c r="I26" s="1"/>
      <c r="J26" s="1"/>
      <c r="K26" s="1"/>
      <c r="L26" s="1"/>
      <c r="M26" s="1"/>
      <c r="N26" s="3">
        <f>441282+436431</f>
        <v>877713</v>
      </c>
      <c r="O26" s="3"/>
      <c r="P26" s="4">
        <f t="shared" si="0"/>
        <v>877713</v>
      </c>
    </row>
    <row r="27" spans="1:16" x14ac:dyDescent="0.25">
      <c r="A27" s="1">
        <v>23</v>
      </c>
      <c r="B27" s="2" t="s">
        <v>73</v>
      </c>
      <c r="C27" s="2" t="s">
        <v>74</v>
      </c>
      <c r="D27" s="1">
        <f>550</f>
        <v>550</v>
      </c>
      <c r="E27" s="1">
        <f>215</f>
        <v>215</v>
      </c>
      <c r="F27" s="1"/>
      <c r="G27" s="1"/>
      <c r="H27" s="1">
        <f>35</f>
        <v>35</v>
      </c>
      <c r="I27" s="1"/>
      <c r="J27" s="1"/>
      <c r="K27" s="1"/>
      <c r="L27" s="1"/>
      <c r="M27" s="1">
        <v>5</v>
      </c>
      <c r="N27" s="3">
        <f>284480</f>
        <v>284480</v>
      </c>
      <c r="O27" s="3">
        <v>4326</v>
      </c>
      <c r="P27" s="4">
        <f t="shared" si="0"/>
        <v>288806</v>
      </c>
    </row>
    <row r="28" spans="1:16" x14ac:dyDescent="0.25">
      <c r="A28" s="1">
        <v>24</v>
      </c>
      <c r="B28" s="2" t="s">
        <v>75</v>
      </c>
      <c r="C28" s="2" t="s">
        <v>76</v>
      </c>
      <c r="D28" s="7">
        <v>845</v>
      </c>
      <c r="E28" s="7">
        <v>50</v>
      </c>
      <c r="F28" s="7"/>
      <c r="G28" s="7"/>
      <c r="H28" s="7">
        <v>5</v>
      </c>
      <c r="I28" s="7"/>
      <c r="J28" s="7"/>
      <c r="K28" s="7"/>
      <c r="L28" s="7"/>
      <c r="M28" s="7"/>
      <c r="N28" s="8">
        <v>249687</v>
      </c>
      <c r="O28" s="8"/>
      <c r="P28" s="4">
        <f t="shared" si="0"/>
        <v>249687</v>
      </c>
    </row>
    <row r="29" spans="1:16" x14ac:dyDescent="0.25">
      <c r="A29" s="1">
        <v>25</v>
      </c>
      <c r="B29" s="2" t="s">
        <v>181</v>
      </c>
      <c r="C29" s="2" t="s">
        <v>182</v>
      </c>
      <c r="D29" s="7">
        <v>300</v>
      </c>
      <c r="E29" s="7">
        <v>350</v>
      </c>
      <c r="F29" s="7"/>
      <c r="G29" s="7"/>
      <c r="H29" s="7">
        <v>50</v>
      </c>
      <c r="I29" s="7"/>
      <c r="J29" s="7"/>
      <c r="K29" s="7"/>
      <c r="L29" s="7"/>
      <c r="M29" s="7"/>
      <c r="N29" s="8">
        <v>302526</v>
      </c>
      <c r="O29" s="8"/>
      <c r="P29" s="4">
        <f t="shared" si="0"/>
        <v>302526</v>
      </c>
    </row>
    <row r="30" spans="1:16" x14ac:dyDescent="0.25">
      <c r="A30" s="1">
        <v>26</v>
      </c>
      <c r="B30" s="2" t="s">
        <v>79</v>
      </c>
      <c r="C30" s="2" t="s">
        <v>80</v>
      </c>
      <c r="D30" s="7">
        <v>780</v>
      </c>
      <c r="E30" s="7">
        <v>50</v>
      </c>
      <c r="F30" s="7">
        <v>20</v>
      </c>
      <c r="G30" s="7"/>
      <c r="H30" s="7">
        <v>50</v>
      </c>
      <c r="I30" s="7"/>
      <c r="J30" s="7">
        <v>15</v>
      </c>
      <c r="K30" s="7"/>
      <c r="L30" s="7"/>
      <c r="M30" s="7"/>
      <c r="N30" s="8">
        <v>288676</v>
      </c>
      <c r="O30" s="8">
        <v>9749</v>
      </c>
      <c r="P30" s="4">
        <f t="shared" si="0"/>
        <v>298425</v>
      </c>
    </row>
    <row r="31" spans="1:16" x14ac:dyDescent="0.25">
      <c r="A31" s="1">
        <v>27</v>
      </c>
      <c r="B31" s="2" t="s">
        <v>193</v>
      </c>
      <c r="C31" s="2" t="s">
        <v>80</v>
      </c>
      <c r="D31" s="7">
        <v>330</v>
      </c>
      <c r="E31" s="7">
        <v>230</v>
      </c>
      <c r="F31" s="7"/>
      <c r="G31" s="7"/>
      <c r="H31" s="7"/>
      <c r="I31" s="7"/>
      <c r="J31" s="7"/>
      <c r="K31" s="7"/>
      <c r="L31" s="7"/>
      <c r="M31" s="7"/>
      <c r="N31" s="8">
        <v>205152</v>
      </c>
      <c r="O31" s="8"/>
      <c r="P31" s="4">
        <f t="shared" si="0"/>
        <v>205152</v>
      </c>
    </row>
    <row r="32" spans="1:16" x14ac:dyDescent="0.25">
      <c r="A32" s="1">
        <v>28</v>
      </c>
      <c r="B32" s="2" t="s">
        <v>225</v>
      </c>
      <c r="C32" s="2" t="s">
        <v>80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8"/>
      <c r="O32" s="8"/>
      <c r="P32" s="4">
        <f t="shared" si="0"/>
        <v>0</v>
      </c>
    </row>
    <row r="33" spans="1:16" x14ac:dyDescent="0.25">
      <c r="A33" s="1">
        <v>29</v>
      </c>
      <c r="B33" s="2" t="s">
        <v>81</v>
      </c>
      <c r="C33" s="2" t="s">
        <v>82</v>
      </c>
      <c r="D33" s="1">
        <f>800+800+640+790</f>
        <v>3030</v>
      </c>
      <c r="E33" s="1">
        <f>300+200+150+150</f>
        <v>800</v>
      </c>
      <c r="F33" s="1"/>
      <c r="G33" s="1">
        <f>20</f>
        <v>20</v>
      </c>
      <c r="H33" s="1">
        <f>50+40+10</f>
        <v>100</v>
      </c>
      <c r="I33" s="1"/>
      <c r="J33" s="1"/>
      <c r="K33" s="1"/>
      <c r="L33" s="1"/>
      <c r="M33" s="1"/>
      <c r="N33" s="3">
        <f>406400+311623+290493+291626</f>
        <v>1300142</v>
      </c>
      <c r="O33" s="3"/>
      <c r="P33" s="4">
        <f t="shared" si="0"/>
        <v>1300142</v>
      </c>
    </row>
    <row r="34" spans="1:16" x14ac:dyDescent="0.25">
      <c r="A34" s="1">
        <v>30</v>
      </c>
      <c r="B34" s="2" t="s">
        <v>183</v>
      </c>
      <c r="C34" s="2" t="s">
        <v>184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3"/>
      <c r="O34" s="3"/>
      <c r="P34" s="4">
        <f t="shared" si="0"/>
        <v>0</v>
      </c>
    </row>
    <row r="35" spans="1:16" x14ac:dyDescent="0.25">
      <c r="A35" s="1">
        <v>31</v>
      </c>
      <c r="B35" s="2" t="s">
        <v>227</v>
      </c>
      <c r="C35" s="2" t="s">
        <v>157</v>
      </c>
      <c r="D35" s="1">
        <f>830+600</f>
        <v>1430</v>
      </c>
      <c r="E35" s="1">
        <f>80+150</f>
        <v>230</v>
      </c>
      <c r="F35" s="1">
        <f>20+40</f>
        <v>60</v>
      </c>
      <c r="G35" s="1"/>
      <c r="H35" s="1">
        <f>70+110</f>
        <v>180</v>
      </c>
      <c r="I35" s="1"/>
      <c r="J35" s="1">
        <f>30</f>
        <v>30</v>
      </c>
      <c r="K35" s="1"/>
      <c r="L35" s="1">
        <f>30</f>
        <v>30</v>
      </c>
      <c r="M35" s="1"/>
      <c r="N35" s="3">
        <f>324346+351713</f>
        <v>676059</v>
      </c>
      <c r="O35" s="3">
        <f>37827</f>
        <v>37827</v>
      </c>
      <c r="P35" s="4">
        <f t="shared" si="0"/>
        <v>713886</v>
      </c>
    </row>
    <row r="36" spans="1:16" x14ac:dyDescent="0.25">
      <c r="A36" s="1">
        <v>32</v>
      </c>
      <c r="B36" s="2" t="s">
        <v>218</v>
      </c>
      <c r="C36" s="2" t="s">
        <v>219</v>
      </c>
      <c r="D36" s="1">
        <v>750</v>
      </c>
      <c r="E36" s="1">
        <v>185</v>
      </c>
      <c r="F36" s="1">
        <v>15</v>
      </c>
      <c r="G36" s="1"/>
      <c r="H36" s="1"/>
      <c r="I36" s="1"/>
      <c r="J36" s="1">
        <v>25</v>
      </c>
      <c r="K36" s="1">
        <v>10</v>
      </c>
      <c r="L36" s="1">
        <v>25</v>
      </c>
      <c r="M36" s="1">
        <v>10</v>
      </c>
      <c r="N36" s="3">
        <f>303833</f>
        <v>303833</v>
      </c>
      <c r="O36" s="3">
        <v>49800</v>
      </c>
      <c r="P36" s="4">
        <f t="shared" si="0"/>
        <v>353633</v>
      </c>
    </row>
    <row r="37" spans="1:16" x14ac:dyDescent="0.25">
      <c r="A37" s="1">
        <v>33</v>
      </c>
      <c r="B37" s="2" t="s">
        <v>197</v>
      </c>
      <c r="C37" s="2" t="s">
        <v>198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  <c r="O37" s="3"/>
      <c r="P37" s="4">
        <f t="shared" si="0"/>
        <v>0</v>
      </c>
    </row>
    <row r="38" spans="1:16" x14ac:dyDescent="0.25">
      <c r="A38" s="1">
        <v>34</v>
      </c>
      <c r="B38" s="2" t="s">
        <v>206</v>
      </c>
      <c r="C38" s="2" t="s">
        <v>207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3"/>
      <c r="O38" s="3"/>
      <c r="P38" s="4">
        <f t="shared" si="0"/>
        <v>0</v>
      </c>
    </row>
    <row r="39" spans="1:16" x14ac:dyDescent="0.25">
      <c r="A39" s="1">
        <v>35</v>
      </c>
      <c r="B39" s="2" t="s">
        <v>209</v>
      </c>
      <c r="C39" s="2" t="s">
        <v>208</v>
      </c>
      <c r="D39" s="1">
        <v>250</v>
      </c>
      <c r="E39" s="1">
        <v>30</v>
      </c>
      <c r="F39" s="1"/>
      <c r="G39" s="1">
        <v>25</v>
      </c>
      <c r="H39" s="1">
        <v>15</v>
      </c>
      <c r="I39" s="1"/>
      <c r="J39" s="1"/>
      <c r="K39" s="1"/>
      <c r="L39" s="1"/>
      <c r="M39" s="1"/>
      <c r="N39" s="3">
        <v>108500</v>
      </c>
      <c r="O39" s="3"/>
      <c r="P39" s="4">
        <f t="shared" si="0"/>
        <v>108500</v>
      </c>
    </row>
    <row r="40" spans="1:16" x14ac:dyDescent="0.25">
      <c r="A40" s="1">
        <v>36</v>
      </c>
      <c r="B40" s="2" t="s">
        <v>216</v>
      </c>
      <c r="C40" s="2" t="s">
        <v>217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3"/>
      <c r="O40" s="3"/>
      <c r="P40" s="4">
        <f t="shared" si="0"/>
        <v>0</v>
      </c>
    </row>
    <row r="41" spans="1:16" x14ac:dyDescent="0.25">
      <c r="A41" s="1">
        <v>37</v>
      </c>
      <c r="B41" s="2" t="s">
        <v>221</v>
      </c>
      <c r="C41" s="2" t="s">
        <v>222</v>
      </c>
      <c r="D41" s="1">
        <f>250</f>
        <v>250</v>
      </c>
      <c r="E41" s="1">
        <f>200</f>
        <v>200</v>
      </c>
      <c r="F41" s="1">
        <f>92</f>
        <v>92</v>
      </c>
      <c r="G41" s="1"/>
      <c r="H41" s="1">
        <f>258</f>
        <v>258</v>
      </c>
      <c r="I41" s="1"/>
      <c r="J41" s="1">
        <f>30</f>
        <v>30</v>
      </c>
      <c r="K41" s="1">
        <f>20</f>
        <v>20</v>
      </c>
      <c r="L41" s="1">
        <f>30</f>
        <v>30</v>
      </c>
      <c r="M41" s="1">
        <f>20</f>
        <v>20</v>
      </c>
      <c r="N41" s="3">
        <f>469487</f>
        <v>469487</v>
      </c>
      <c r="O41" s="3">
        <f>73604</f>
        <v>73604</v>
      </c>
      <c r="P41" s="4">
        <f t="shared" si="0"/>
        <v>543091</v>
      </c>
    </row>
    <row r="42" spans="1:16" x14ac:dyDescent="0.25">
      <c r="A42" s="1">
        <v>38</v>
      </c>
      <c r="B42" s="2" t="s">
        <v>231</v>
      </c>
      <c r="C42" s="2" t="s">
        <v>232</v>
      </c>
      <c r="D42" s="1">
        <v>425</v>
      </c>
      <c r="E42" s="1">
        <v>100</v>
      </c>
      <c r="F42" s="1">
        <v>50</v>
      </c>
      <c r="G42" s="1">
        <v>25</v>
      </c>
      <c r="H42" s="1">
        <v>50</v>
      </c>
      <c r="I42" s="1"/>
      <c r="J42" s="1">
        <v>25</v>
      </c>
      <c r="K42" s="1">
        <v>20</v>
      </c>
      <c r="L42" s="1">
        <v>12</v>
      </c>
      <c r="M42" s="1">
        <v>20</v>
      </c>
      <c r="N42" s="3">
        <v>263570</v>
      </c>
      <c r="O42" s="3">
        <v>58655</v>
      </c>
      <c r="P42" s="4">
        <f t="shared" si="0"/>
        <v>322225</v>
      </c>
    </row>
    <row r="43" spans="1:16" x14ac:dyDescent="0.25">
      <c r="A43" s="1">
        <v>39</v>
      </c>
      <c r="B43" s="2" t="s">
        <v>162</v>
      </c>
      <c r="C43" s="2" t="s">
        <v>163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  <c r="O43" s="3"/>
      <c r="P43" s="4">
        <f t="shared" si="0"/>
        <v>0</v>
      </c>
    </row>
    <row r="44" spans="1:16" x14ac:dyDescent="0.25">
      <c r="A44" s="1">
        <v>40</v>
      </c>
      <c r="B44" s="2" t="s">
        <v>188</v>
      </c>
      <c r="C44" s="2" t="s">
        <v>189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3"/>
      <c r="O44" s="3"/>
      <c r="P44" s="4">
        <f t="shared" si="0"/>
        <v>0</v>
      </c>
    </row>
    <row r="45" spans="1:16" x14ac:dyDescent="0.25">
      <c r="A45" s="1">
        <v>41</v>
      </c>
      <c r="B45" s="2" t="s">
        <v>177</v>
      </c>
      <c r="C45" s="2" t="s">
        <v>84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  <c r="O45" s="3"/>
      <c r="P45" s="4">
        <f t="shared" si="0"/>
        <v>0</v>
      </c>
    </row>
    <row r="46" spans="1:16" x14ac:dyDescent="0.25">
      <c r="A46" s="1">
        <v>42</v>
      </c>
      <c r="B46" s="2" t="s">
        <v>213</v>
      </c>
      <c r="C46" s="2" t="s">
        <v>84</v>
      </c>
      <c r="D46" s="1"/>
      <c r="E46" s="1"/>
      <c r="F46" s="1">
        <f>100</f>
        <v>100</v>
      </c>
      <c r="G46" s="1">
        <f>100</f>
        <v>100</v>
      </c>
      <c r="H46" s="1">
        <f>200</f>
        <v>200</v>
      </c>
      <c r="I46" s="1">
        <f>400</f>
        <v>400</v>
      </c>
      <c r="J46" s="1"/>
      <c r="K46" s="1"/>
      <c r="L46" s="1"/>
      <c r="M46" s="1"/>
      <c r="N46" s="3">
        <f>628249</f>
        <v>628249</v>
      </c>
      <c r="O46" s="3"/>
      <c r="P46" s="4">
        <f t="shared" si="0"/>
        <v>628249</v>
      </c>
    </row>
    <row r="47" spans="1:16" x14ac:dyDescent="0.25">
      <c r="A47" s="1">
        <v>43</v>
      </c>
      <c r="B47" s="2" t="s">
        <v>85</v>
      </c>
      <c r="C47" s="2" t="s">
        <v>86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3"/>
      <c r="O47" s="3"/>
      <c r="P47" s="4">
        <f t="shared" si="0"/>
        <v>0</v>
      </c>
    </row>
    <row r="48" spans="1:16" x14ac:dyDescent="0.25">
      <c r="A48" s="1">
        <v>44</v>
      </c>
      <c r="B48" s="2" t="s">
        <v>87</v>
      </c>
      <c r="C48" s="2" t="s">
        <v>88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  <c r="O48" s="3"/>
      <c r="P48" s="4">
        <f t="shared" si="0"/>
        <v>0</v>
      </c>
    </row>
    <row r="49" spans="1:16" x14ac:dyDescent="0.25">
      <c r="A49" s="1">
        <v>45</v>
      </c>
      <c r="B49" s="2" t="s">
        <v>89</v>
      </c>
      <c r="C49" s="2" t="s">
        <v>90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  <c r="O49" s="3"/>
      <c r="P49" s="4">
        <f t="shared" si="0"/>
        <v>0</v>
      </c>
    </row>
    <row r="50" spans="1:16" x14ac:dyDescent="0.25">
      <c r="A50" s="1">
        <v>46</v>
      </c>
      <c r="B50" s="2" t="s">
        <v>91</v>
      </c>
      <c r="C50" s="2" t="s">
        <v>92</v>
      </c>
      <c r="D50" s="1">
        <v>370</v>
      </c>
      <c r="E50" s="1">
        <v>400</v>
      </c>
      <c r="F50" s="1">
        <v>10</v>
      </c>
      <c r="G50" s="1"/>
      <c r="H50" s="1">
        <v>20</v>
      </c>
      <c r="I50" s="1"/>
      <c r="J50" s="1"/>
      <c r="K50" s="1"/>
      <c r="L50" s="1"/>
      <c r="M50" s="1"/>
      <c r="N50" s="3">
        <v>443948</v>
      </c>
      <c r="O50" s="3"/>
      <c r="P50" s="4">
        <f t="shared" si="0"/>
        <v>443948</v>
      </c>
    </row>
    <row r="51" spans="1:16" x14ac:dyDescent="0.25">
      <c r="A51" s="1">
        <v>47</v>
      </c>
      <c r="B51" s="2" t="s">
        <v>93</v>
      </c>
      <c r="C51" s="2" t="s">
        <v>94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  <c r="O51" s="3"/>
      <c r="P51" s="4">
        <f t="shared" si="0"/>
        <v>0</v>
      </c>
    </row>
    <row r="52" spans="1:16" x14ac:dyDescent="0.25">
      <c r="A52" s="1">
        <v>48</v>
      </c>
      <c r="B52" s="2" t="s">
        <v>95</v>
      </c>
      <c r="C52" s="2" t="s">
        <v>96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3"/>
      <c r="O52" s="3"/>
      <c r="P52" s="4">
        <f t="shared" si="0"/>
        <v>0</v>
      </c>
    </row>
    <row r="53" spans="1:16" x14ac:dyDescent="0.25">
      <c r="A53" s="1">
        <v>49</v>
      </c>
      <c r="B53" s="2" t="s">
        <v>97</v>
      </c>
      <c r="C53" s="2" t="s">
        <v>98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3"/>
      <c r="O53" s="3"/>
      <c r="P53" s="4">
        <f t="shared" si="0"/>
        <v>0</v>
      </c>
    </row>
    <row r="54" spans="1:16" x14ac:dyDescent="0.25">
      <c r="A54" s="1">
        <v>50</v>
      </c>
      <c r="B54" s="2" t="s">
        <v>99</v>
      </c>
      <c r="C54" s="2" t="s">
        <v>100</v>
      </c>
      <c r="D54" s="1">
        <v>300</v>
      </c>
      <c r="E54" s="1">
        <v>1750</v>
      </c>
      <c r="F54" s="1"/>
      <c r="G54" s="1"/>
      <c r="H54" s="1"/>
      <c r="I54" s="1"/>
      <c r="J54" s="1"/>
      <c r="K54" s="1"/>
      <c r="L54" s="1"/>
      <c r="M54" s="1"/>
      <c r="N54" s="3">
        <v>1057001</v>
      </c>
      <c r="O54" s="3"/>
      <c r="P54" s="4">
        <f t="shared" si="0"/>
        <v>1057001</v>
      </c>
    </row>
    <row r="55" spans="1:16" x14ac:dyDescent="0.25">
      <c r="A55" s="1">
        <v>51</v>
      </c>
      <c r="B55" s="2" t="s">
        <v>101</v>
      </c>
      <c r="C55" s="2" t="s">
        <v>102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3"/>
      <c r="O55" s="3"/>
      <c r="P55" s="4">
        <f t="shared" si="0"/>
        <v>0</v>
      </c>
    </row>
    <row r="56" spans="1:16" x14ac:dyDescent="0.25">
      <c r="A56" s="1">
        <v>52</v>
      </c>
      <c r="B56" s="2" t="s">
        <v>103</v>
      </c>
      <c r="C56" s="2" t="s">
        <v>104</v>
      </c>
      <c r="D56" s="1">
        <v>400</v>
      </c>
      <c r="E56" s="1">
        <v>300</v>
      </c>
      <c r="F56" s="1"/>
      <c r="G56" s="1"/>
      <c r="H56" s="1"/>
      <c r="I56" s="1"/>
      <c r="J56" s="1"/>
      <c r="K56" s="1"/>
      <c r="L56" s="1"/>
      <c r="M56" s="1"/>
      <c r="N56" s="3">
        <v>379436</v>
      </c>
      <c r="O56" s="3"/>
      <c r="P56" s="4">
        <f t="shared" si="0"/>
        <v>379436</v>
      </c>
    </row>
    <row r="57" spans="1:16" x14ac:dyDescent="0.25">
      <c r="A57" s="1">
        <v>53</v>
      </c>
      <c r="B57" s="2" t="s">
        <v>201</v>
      </c>
      <c r="C57" s="2" t="s">
        <v>202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3"/>
      <c r="O57" s="3"/>
      <c r="P57" s="4">
        <f t="shared" si="0"/>
        <v>0</v>
      </c>
    </row>
    <row r="58" spans="1:16" x14ac:dyDescent="0.25">
      <c r="A58" s="1">
        <v>54</v>
      </c>
      <c r="B58" s="2" t="s">
        <v>169</v>
      </c>
      <c r="C58" s="2" t="s">
        <v>170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  <c r="O58" s="3"/>
      <c r="P58" s="4">
        <f t="shared" si="0"/>
        <v>0</v>
      </c>
    </row>
    <row r="59" spans="1:16" x14ac:dyDescent="0.25">
      <c r="A59" s="1">
        <v>55</v>
      </c>
      <c r="B59" s="2" t="s">
        <v>228</v>
      </c>
      <c r="C59" s="2" t="s">
        <v>155</v>
      </c>
      <c r="D59" s="1">
        <f>220</f>
        <v>220</v>
      </c>
      <c r="E59" s="1">
        <f>250</f>
        <v>250</v>
      </c>
      <c r="F59" s="1">
        <f>50</f>
        <v>50</v>
      </c>
      <c r="G59" s="1">
        <f>30</f>
        <v>30</v>
      </c>
      <c r="H59" s="1">
        <f>80</f>
        <v>80</v>
      </c>
      <c r="I59" s="1">
        <f>50</f>
        <v>50</v>
      </c>
      <c r="J59" s="1"/>
      <c r="K59" s="1"/>
      <c r="L59" s="1"/>
      <c r="M59" s="1"/>
      <c r="N59" s="3">
        <f>428458</f>
        <v>428458</v>
      </c>
      <c r="O59" s="3"/>
      <c r="P59" s="4">
        <f t="shared" si="0"/>
        <v>428458</v>
      </c>
    </row>
    <row r="60" spans="1:16" x14ac:dyDescent="0.25">
      <c r="A60" s="1">
        <v>56</v>
      </c>
      <c r="B60" s="2" t="s">
        <v>105</v>
      </c>
      <c r="C60" s="2" t="s">
        <v>106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3"/>
      <c r="O60" s="3"/>
      <c r="P60" s="4">
        <f t="shared" si="0"/>
        <v>0</v>
      </c>
    </row>
    <row r="61" spans="1:16" x14ac:dyDescent="0.25">
      <c r="A61" s="1">
        <v>57</v>
      </c>
      <c r="B61" s="2" t="s">
        <v>107</v>
      </c>
      <c r="C61" s="2" t="s">
        <v>108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3"/>
      <c r="O61" s="3"/>
      <c r="P61" s="4">
        <f t="shared" si="0"/>
        <v>0</v>
      </c>
    </row>
    <row r="62" spans="1:16" x14ac:dyDescent="0.25">
      <c r="A62" s="1">
        <v>58</v>
      </c>
      <c r="B62" s="2" t="s">
        <v>109</v>
      </c>
      <c r="C62" s="2" t="s">
        <v>110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3"/>
      <c r="O62" s="3"/>
      <c r="P62" s="4">
        <f t="shared" si="0"/>
        <v>0</v>
      </c>
    </row>
    <row r="63" spans="1:16" x14ac:dyDescent="0.25">
      <c r="A63" s="1">
        <v>59</v>
      </c>
      <c r="B63" s="2" t="s">
        <v>179</v>
      </c>
      <c r="C63" s="2" t="s">
        <v>174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3"/>
      <c r="O63" s="3"/>
      <c r="P63" s="4">
        <f t="shared" si="0"/>
        <v>0</v>
      </c>
    </row>
    <row r="64" spans="1:16" x14ac:dyDescent="0.25">
      <c r="A64" s="1">
        <v>60</v>
      </c>
      <c r="B64" s="2" t="s">
        <v>211</v>
      </c>
      <c r="C64" s="2" t="s">
        <v>212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3"/>
      <c r="O64" s="3"/>
      <c r="P64" s="4">
        <f t="shared" si="0"/>
        <v>0</v>
      </c>
    </row>
    <row r="65" spans="1:16" x14ac:dyDescent="0.25">
      <c r="A65" s="1">
        <v>61</v>
      </c>
      <c r="B65" s="2" t="s">
        <v>214</v>
      </c>
      <c r="C65" s="2" t="s">
        <v>215</v>
      </c>
      <c r="D65" s="1">
        <v>650</v>
      </c>
      <c r="E65" s="1">
        <v>250</v>
      </c>
      <c r="F65" s="1"/>
      <c r="G65" s="1"/>
      <c r="H65" s="1">
        <v>10</v>
      </c>
      <c r="I65" s="1"/>
      <c r="J65" s="1">
        <v>13</v>
      </c>
      <c r="K65" s="1">
        <v>2</v>
      </c>
      <c r="L65" s="1">
        <v>20</v>
      </c>
      <c r="M65" s="1">
        <v>20</v>
      </c>
      <c r="N65" s="3">
        <v>307207</v>
      </c>
      <c r="O65" s="3">
        <v>40482</v>
      </c>
      <c r="P65" s="4">
        <f t="shared" si="0"/>
        <v>347689</v>
      </c>
    </row>
    <row r="66" spans="1:16" x14ac:dyDescent="0.25">
      <c r="A66" s="1">
        <v>62</v>
      </c>
      <c r="B66" s="5" t="s">
        <v>111</v>
      </c>
      <c r="C66" s="2" t="s">
        <v>112</v>
      </c>
      <c r="D66" s="1">
        <f>400</f>
        <v>400</v>
      </c>
      <c r="E66" s="1">
        <f>100</f>
        <v>100</v>
      </c>
      <c r="F66" s="1"/>
      <c r="G66" s="1"/>
      <c r="H66" s="1"/>
      <c r="I66" s="1"/>
      <c r="J66" s="1"/>
      <c r="K66" s="1"/>
      <c r="L66" s="1"/>
      <c r="M66" s="1"/>
      <c r="N66" s="3">
        <f>155812</f>
        <v>155812</v>
      </c>
      <c r="O66" s="3"/>
      <c r="P66" s="4">
        <f t="shared" si="0"/>
        <v>155812</v>
      </c>
    </row>
    <row r="67" spans="1:16" x14ac:dyDescent="0.25">
      <c r="A67" s="1">
        <v>63</v>
      </c>
      <c r="B67" s="2" t="s">
        <v>113</v>
      </c>
      <c r="C67" s="2" t="s">
        <v>114</v>
      </c>
      <c r="D67" s="1"/>
      <c r="E67" s="1">
        <v>15</v>
      </c>
      <c r="F67" s="1"/>
      <c r="G67" s="1"/>
      <c r="H67" s="1">
        <v>110</v>
      </c>
      <c r="I67" s="1"/>
      <c r="J67" s="1"/>
      <c r="K67" s="1"/>
      <c r="L67" s="1"/>
      <c r="M67" s="1"/>
      <c r="N67" s="3">
        <v>102039</v>
      </c>
      <c r="O67" s="3"/>
      <c r="P67" s="4">
        <f t="shared" si="0"/>
        <v>102039</v>
      </c>
    </row>
    <row r="68" spans="1:16" x14ac:dyDescent="0.25">
      <c r="A68" s="1">
        <v>64</v>
      </c>
      <c r="B68" s="2" t="s">
        <v>115</v>
      </c>
      <c r="C68" s="2" t="s">
        <v>116</v>
      </c>
      <c r="D68" s="1">
        <f>50+50</f>
        <v>100</v>
      </c>
      <c r="E68" s="1">
        <f>30+40</f>
        <v>70</v>
      </c>
      <c r="F68" s="1"/>
      <c r="G68" s="1"/>
      <c r="H68" s="1">
        <f>150+200</f>
        <v>350</v>
      </c>
      <c r="I68" s="1">
        <f>70+75</f>
        <v>145</v>
      </c>
      <c r="J68" s="1"/>
      <c r="K68" s="1"/>
      <c r="L68" s="1"/>
      <c r="M68" s="1"/>
      <c r="N68" s="3">
        <f>210098+261918</f>
        <v>472016</v>
      </c>
      <c r="O68" s="3"/>
      <c r="P68" s="4">
        <f t="shared" si="0"/>
        <v>472016</v>
      </c>
    </row>
    <row r="69" spans="1:16" x14ac:dyDescent="0.25">
      <c r="A69" s="1">
        <v>65</v>
      </c>
      <c r="B69" s="2" t="s">
        <v>158</v>
      </c>
      <c r="C69" s="2" t="s">
        <v>118</v>
      </c>
      <c r="D69" s="1">
        <v>315</v>
      </c>
      <c r="E69" s="1">
        <v>160</v>
      </c>
      <c r="F69" s="1"/>
      <c r="G69" s="1"/>
      <c r="H69" s="1">
        <v>25</v>
      </c>
      <c r="I69" s="1"/>
      <c r="J69" s="1"/>
      <c r="K69" s="1"/>
      <c r="L69" s="1"/>
      <c r="M69" s="1"/>
      <c r="N69" s="3">
        <v>186321</v>
      </c>
      <c r="O69" s="3"/>
      <c r="P69" s="4">
        <f t="shared" si="0"/>
        <v>186321</v>
      </c>
    </row>
    <row r="70" spans="1:16" x14ac:dyDescent="0.25">
      <c r="A70" s="1">
        <v>66</v>
      </c>
      <c r="B70" s="2" t="s">
        <v>119</v>
      </c>
      <c r="C70" s="2" t="s">
        <v>120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3"/>
      <c r="O70" s="3"/>
      <c r="P70" s="4">
        <f t="shared" si="0"/>
        <v>0</v>
      </c>
    </row>
    <row r="71" spans="1:16" x14ac:dyDescent="0.25">
      <c r="A71" s="1">
        <v>67</v>
      </c>
      <c r="B71" s="2" t="s">
        <v>121</v>
      </c>
      <c r="C71" s="2" t="s">
        <v>122</v>
      </c>
      <c r="D71" s="1">
        <f>1065+950+900</f>
        <v>2915</v>
      </c>
      <c r="E71" s="1">
        <f>50+170+100</f>
        <v>320</v>
      </c>
      <c r="F71" s="1">
        <f>20+10</f>
        <v>30</v>
      </c>
      <c r="G71" s="1">
        <f>5+3</f>
        <v>8</v>
      </c>
      <c r="H71" s="1">
        <f>60+50+90</f>
        <v>200</v>
      </c>
      <c r="I71" s="1"/>
      <c r="J71" s="1">
        <f>5+10</f>
        <v>15</v>
      </c>
      <c r="K71" s="1">
        <f>5+10</f>
        <v>15</v>
      </c>
      <c r="L71" s="1">
        <f>5+5+5</f>
        <v>15</v>
      </c>
      <c r="M71" s="1">
        <f>5+5+5</f>
        <v>15</v>
      </c>
      <c r="N71" s="3">
        <f>374284+377835+373241</f>
        <v>1125360</v>
      </c>
      <c r="O71" s="3">
        <f>15151+22727+7575</f>
        <v>45453</v>
      </c>
      <c r="P71" s="4">
        <f t="shared" si="0"/>
        <v>1170813</v>
      </c>
    </row>
    <row r="72" spans="1:16" x14ac:dyDescent="0.25">
      <c r="A72" s="1">
        <v>68</v>
      </c>
      <c r="B72" s="5" t="s">
        <v>123</v>
      </c>
      <c r="C72" s="2" t="s">
        <v>124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3"/>
      <c r="O72" s="3"/>
      <c r="P72" s="4">
        <f t="shared" si="0"/>
        <v>0</v>
      </c>
    </row>
    <row r="73" spans="1:16" x14ac:dyDescent="0.25">
      <c r="A73" s="1">
        <v>69</v>
      </c>
      <c r="B73" s="5" t="s">
        <v>125</v>
      </c>
      <c r="C73" s="2" t="s">
        <v>126</v>
      </c>
      <c r="D73" s="1">
        <f>180</f>
        <v>180</v>
      </c>
      <c r="E73" s="1">
        <f>200</f>
        <v>200</v>
      </c>
      <c r="F73" s="1"/>
      <c r="G73" s="1"/>
      <c r="H73" s="1">
        <f>25</f>
        <v>25</v>
      </c>
      <c r="I73" s="1"/>
      <c r="J73" s="1">
        <f>2</f>
        <v>2</v>
      </c>
      <c r="K73" s="1">
        <f>1</f>
        <v>1</v>
      </c>
      <c r="L73" s="1">
        <f>2</f>
        <v>2</v>
      </c>
      <c r="M73" s="1">
        <f>1</f>
        <v>1</v>
      </c>
      <c r="N73" s="3">
        <f>172038</f>
        <v>172038</v>
      </c>
      <c r="O73" s="3">
        <f>4330</f>
        <v>4330</v>
      </c>
      <c r="P73" s="4">
        <f t="shared" si="0"/>
        <v>176368</v>
      </c>
    </row>
    <row r="74" spans="1:16" x14ac:dyDescent="0.25">
      <c r="A74" s="1">
        <v>70</v>
      </c>
      <c r="B74" s="2" t="s">
        <v>127</v>
      </c>
      <c r="C74" s="2" t="s">
        <v>128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3"/>
      <c r="O74" s="3"/>
      <c r="P74" s="4">
        <f t="shared" si="0"/>
        <v>0</v>
      </c>
    </row>
    <row r="75" spans="1:16" x14ac:dyDescent="0.25">
      <c r="A75" s="1">
        <v>71</v>
      </c>
      <c r="B75" s="5" t="s">
        <v>131</v>
      </c>
      <c r="C75" s="5" t="s">
        <v>132</v>
      </c>
      <c r="D75" s="1">
        <f>100</f>
        <v>100</v>
      </c>
      <c r="E75" s="1"/>
      <c r="F75" s="1"/>
      <c r="G75" s="1"/>
      <c r="H75" s="1"/>
      <c r="I75" s="1"/>
      <c r="J75" s="1"/>
      <c r="K75" s="1"/>
      <c r="L75" s="1"/>
      <c r="M75" s="1"/>
      <c r="N75" s="3">
        <f>17312</f>
        <v>17312</v>
      </c>
      <c r="O75" s="3"/>
      <c r="P75" s="4">
        <f t="shared" si="0"/>
        <v>17312</v>
      </c>
    </row>
    <row r="76" spans="1:16" x14ac:dyDescent="0.25">
      <c r="A76" s="1">
        <v>72</v>
      </c>
      <c r="B76" s="2" t="s">
        <v>133</v>
      </c>
      <c r="C76" s="2" t="s">
        <v>132</v>
      </c>
      <c r="D76" s="1">
        <v>165</v>
      </c>
      <c r="E76" s="1">
        <v>5</v>
      </c>
      <c r="F76" s="1"/>
      <c r="G76" s="1">
        <v>10</v>
      </c>
      <c r="H76" s="1">
        <v>15</v>
      </c>
      <c r="I76" s="1"/>
      <c r="J76" s="1"/>
      <c r="K76" s="1"/>
      <c r="L76" s="1"/>
      <c r="M76" s="1"/>
      <c r="N76" s="3">
        <v>48456</v>
      </c>
      <c r="O76" s="3"/>
      <c r="P76" s="4">
        <f t="shared" si="0"/>
        <v>48456</v>
      </c>
    </row>
    <row r="77" spans="1:16" x14ac:dyDescent="0.25">
      <c r="A77" s="1">
        <v>73</v>
      </c>
      <c r="B77" s="9" t="s">
        <v>134</v>
      </c>
      <c r="C77" s="2" t="s">
        <v>135</v>
      </c>
      <c r="D77" s="1">
        <v>770</v>
      </c>
      <c r="E77" s="1">
        <v>130</v>
      </c>
      <c r="F77" s="1"/>
      <c r="G77" s="1"/>
      <c r="H77" s="1"/>
      <c r="I77" s="1"/>
      <c r="J77" s="1"/>
      <c r="K77" s="1">
        <v>10</v>
      </c>
      <c r="L77" s="1">
        <v>25</v>
      </c>
      <c r="M77" s="1">
        <v>10</v>
      </c>
      <c r="N77" s="3">
        <v>267477</v>
      </c>
      <c r="O77" s="3">
        <v>33552</v>
      </c>
      <c r="P77" s="4">
        <f t="shared" si="0"/>
        <v>301029</v>
      </c>
    </row>
    <row r="78" spans="1:16" x14ac:dyDescent="0.25">
      <c r="A78" s="1">
        <v>74</v>
      </c>
      <c r="B78" s="9" t="s">
        <v>138</v>
      </c>
      <c r="C78" s="2" t="s">
        <v>139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3"/>
      <c r="O78" s="3"/>
      <c r="P78" s="4">
        <f t="shared" si="0"/>
        <v>0</v>
      </c>
    </row>
    <row r="79" spans="1:16" x14ac:dyDescent="0.25">
      <c r="A79" s="1">
        <v>75</v>
      </c>
      <c r="B79" s="9" t="s">
        <v>142</v>
      </c>
      <c r="C79" s="2" t="s">
        <v>143</v>
      </c>
      <c r="D79" s="1"/>
      <c r="E79" s="1">
        <v>50</v>
      </c>
      <c r="F79" s="1">
        <v>10</v>
      </c>
      <c r="G79" s="1"/>
      <c r="H79" s="1">
        <v>20</v>
      </c>
      <c r="I79" s="1"/>
      <c r="J79" s="1">
        <v>2</v>
      </c>
      <c r="K79" s="1">
        <v>2</v>
      </c>
      <c r="L79" s="1">
        <v>2</v>
      </c>
      <c r="M79" s="1">
        <v>2</v>
      </c>
      <c r="N79" s="3">
        <f>54855</f>
        <v>54855</v>
      </c>
      <c r="O79" s="3">
        <v>6355</v>
      </c>
      <c r="P79" s="4">
        <f t="shared" si="0"/>
        <v>61210</v>
      </c>
    </row>
    <row r="80" spans="1:16" x14ac:dyDescent="0.25">
      <c r="A80" s="1">
        <v>76</v>
      </c>
      <c r="B80" s="5" t="s">
        <v>146</v>
      </c>
      <c r="C80" s="2" t="s">
        <v>147</v>
      </c>
      <c r="D80" s="1">
        <f>75+50+33</f>
        <v>158</v>
      </c>
      <c r="E80" s="1">
        <f>5+15+15</f>
        <v>35</v>
      </c>
      <c r="F80" s="1">
        <f>1+2</f>
        <v>3</v>
      </c>
      <c r="G80" s="1"/>
      <c r="H80" s="1">
        <f>20+20+20</f>
        <v>60</v>
      </c>
      <c r="I80" s="1"/>
      <c r="J80" s="1">
        <f>2</f>
        <v>2</v>
      </c>
      <c r="K80" s="1">
        <f>2+3</f>
        <v>5</v>
      </c>
      <c r="L80" s="1">
        <f>2+3+1</f>
        <v>6</v>
      </c>
      <c r="M80" s="1">
        <f>2+3+2</f>
        <v>7</v>
      </c>
      <c r="N80" s="3">
        <f>41555+41096+37336</f>
        <v>119987</v>
      </c>
      <c r="O80" s="3">
        <f>6355+7519+2506</f>
        <v>16380</v>
      </c>
      <c r="P80" s="4">
        <f t="shared" si="0"/>
        <v>136367</v>
      </c>
    </row>
    <row r="81" spans="1:16" x14ac:dyDescent="0.25">
      <c r="A81" s="1">
        <v>77</v>
      </c>
      <c r="B81" s="5" t="s">
        <v>148</v>
      </c>
      <c r="C81" s="2" t="s">
        <v>149</v>
      </c>
      <c r="D81" s="1">
        <f>150+130</f>
        <v>280</v>
      </c>
      <c r="E81" s="1">
        <f>7</f>
        <v>7</v>
      </c>
      <c r="F81" s="1"/>
      <c r="G81" s="1">
        <f>3</f>
        <v>3</v>
      </c>
      <c r="H81" s="1">
        <f>10+10</f>
        <v>20</v>
      </c>
      <c r="I81" s="1"/>
      <c r="J81" s="1"/>
      <c r="K81" s="1"/>
      <c r="L81" s="1"/>
      <c r="M81" s="1"/>
      <c r="N81" s="3">
        <f>50360+50583</f>
        <v>100943</v>
      </c>
      <c r="O81" s="3"/>
      <c r="P81" s="4">
        <f t="shared" si="0"/>
        <v>100943</v>
      </c>
    </row>
    <row r="82" spans="1:16" ht="15.75" thickBot="1" x14ac:dyDescent="0.3">
      <c r="A82" s="1">
        <v>78</v>
      </c>
      <c r="B82" s="10" t="s">
        <v>223</v>
      </c>
      <c r="C82" s="11" t="s">
        <v>224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3"/>
      <c r="O82" s="13"/>
      <c r="P82" s="32">
        <f t="shared" si="0"/>
        <v>0</v>
      </c>
    </row>
    <row r="83" spans="1:16" ht="15.75" thickBot="1" x14ac:dyDescent="0.3">
      <c r="A83" s="39" t="s">
        <v>150</v>
      </c>
      <c r="B83" s="40"/>
      <c r="C83" s="24"/>
      <c r="D83" s="25">
        <f t="shared" ref="D83:P83" si="1">SUM(D5:D82)</f>
        <v>59518</v>
      </c>
      <c r="E83" s="25">
        <f t="shared" si="1"/>
        <v>14027</v>
      </c>
      <c r="F83" s="25">
        <f t="shared" si="1"/>
        <v>815</v>
      </c>
      <c r="G83" s="25">
        <f t="shared" si="1"/>
        <v>416</v>
      </c>
      <c r="H83" s="25">
        <f t="shared" si="1"/>
        <v>3846</v>
      </c>
      <c r="I83" s="25">
        <f t="shared" si="1"/>
        <v>595</v>
      </c>
      <c r="J83" s="25">
        <f t="shared" si="1"/>
        <v>284</v>
      </c>
      <c r="K83" s="25">
        <f t="shared" si="1"/>
        <v>137</v>
      </c>
      <c r="L83" s="25">
        <f t="shared" si="1"/>
        <v>308</v>
      </c>
      <c r="M83" s="25">
        <f t="shared" si="1"/>
        <v>181</v>
      </c>
      <c r="N83" s="26">
        <f t="shared" si="1"/>
        <v>27754712</v>
      </c>
      <c r="O83" s="26">
        <f t="shared" si="1"/>
        <v>659598</v>
      </c>
      <c r="P83" s="26">
        <f t="shared" si="1"/>
        <v>28414310</v>
      </c>
    </row>
  </sheetData>
  <mergeCells count="3">
    <mergeCell ref="A1:P1"/>
    <mergeCell ref="A2:P2"/>
    <mergeCell ref="A83:B83"/>
  </mergeCells>
  <pageMargins left="0.44" right="0.21" top="0.16" bottom="0.16" header="0.16" footer="0.16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1B27-44E7-4873-8C0D-E31E5D946183}">
  <dimension ref="A1:AD90"/>
  <sheetViews>
    <sheetView zoomScale="90" zoomScaleNormal="90" workbookViewId="0">
      <pane xSplit="3" ySplit="4" topLeftCell="D26" activePane="bottomRight" state="frozen"/>
      <selection pane="topRight" activeCell="D1" sqref="D1"/>
      <selection pane="bottomLeft" activeCell="A5" sqref="A5"/>
      <selection pane="bottomRight" activeCell="N37" sqref="N37"/>
    </sheetView>
  </sheetViews>
  <sheetFormatPr defaultRowHeight="15" x14ac:dyDescent="0.25"/>
  <cols>
    <col min="1" max="1" width="6.42578125" bestFit="1" customWidth="1"/>
    <col min="2" max="2" width="28.85546875" customWidth="1"/>
    <col min="3" max="3" width="14.28515625" customWidth="1"/>
    <col min="4" max="4" width="8.42578125" style="14" customWidth="1"/>
    <col min="5" max="5" width="9" style="14" customWidth="1"/>
    <col min="6" max="6" width="8.42578125" style="14" customWidth="1"/>
    <col min="7" max="9" width="8.7109375" style="14" customWidth="1"/>
    <col min="10" max="11" width="7.85546875" style="14" customWidth="1"/>
    <col min="12" max="13" width="7.5703125" style="14" customWidth="1"/>
    <col min="14" max="14" width="10" style="14" customWidth="1"/>
    <col min="15" max="15" width="10.140625" style="14" customWidth="1"/>
    <col min="16" max="17" width="8.42578125" style="14" customWidth="1"/>
    <col min="18" max="18" width="9.7109375" style="14" customWidth="1"/>
    <col min="19" max="19" width="8.42578125" style="14" customWidth="1"/>
    <col min="20" max="20" width="8.140625" style="14" customWidth="1"/>
    <col min="21" max="21" width="8.28515625" style="14" customWidth="1"/>
    <col min="22" max="23" width="8.5703125" style="14" customWidth="1"/>
    <col min="24" max="24" width="8.7109375" style="14" customWidth="1"/>
    <col min="25" max="25" width="14.140625" style="14" customWidth="1"/>
    <col min="26" max="27" width="12.5703125" style="14" customWidth="1"/>
    <col min="28" max="28" width="11.5703125" style="14" customWidth="1"/>
    <col min="29" max="29" width="11.140625" style="14" customWidth="1"/>
    <col min="30" max="30" width="14.140625" bestFit="1" customWidth="1"/>
  </cols>
  <sheetData>
    <row r="1" spans="1:30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 ht="19.5" thickBot="1" x14ac:dyDescent="0.35">
      <c r="A2" s="38" t="s">
        <v>233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 spans="1:30" ht="70.5" customHeight="1" thickBot="1" x14ac:dyDescent="0.3">
      <c r="A3" s="15" t="s">
        <v>1</v>
      </c>
      <c r="B3" s="16" t="s">
        <v>2</v>
      </c>
      <c r="C3" s="16" t="s">
        <v>3</v>
      </c>
      <c r="D3" s="17" t="s">
        <v>4</v>
      </c>
      <c r="E3" s="17" t="s">
        <v>5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240</v>
      </c>
      <c r="O3" s="17" t="s">
        <v>239</v>
      </c>
      <c r="P3" s="17" t="s">
        <v>241</v>
      </c>
      <c r="Q3" s="17" t="s">
        <v>242</v>
      </c>
      <c r="R3" s="17" t="s">
        <v>243</v>
      </c>
      <c r="S3" s="17" t="s">
        <v>250</v>
      </c>
      <c r="T3" s="17" t="s">
        <v>257</v>
      </c>
      <c r="U3" s="17" t="s">
        <v>252</v>
      </c>
      <c r="V3" s="17" t="s">
        <v>253</v>
      </c>
      <c r="W3" s="17" t="s">
        <v>254</v>
      </c>
      <c r="X3" s="17" t="s">
        <v>255</v>
      </c>
      <c r="Y3" s="17" t="s">
        <v>25</v>
      </c>
      <c r="Z3" s="18" t="s">
        <v>26</v>
      </c>
      <c r="AA3" s="18" t="s">
        <v>238</v>
      </c>
      <c r="AB3" s="18" t="s">
        <v>258</v>
      </c>
      <c r="AC3" s="18" t="s">
        <v>256</v>
      </c>
      <c r="AD3" s="19" t="s">
        <v>28</v>
      </c>
    </row>
    <row r="4" spans="1:30" ht="15.75" thickBot="1" x14ac:dyDescent="0.3">
      <c r="A4" s="20"/>
      <c r="B4" s="21"/>
      <c r="C4" s="21"/>
      <c r="D4" s="22" t="s">
        <v>29</v>
      </c>
      <c r="E4" s="22" t="s">
        <v>30</v>
      </c>
      <c r="F4" s="22" t="s">
        <v>32</v>
      </c>
      <c r="G4" s="22" t="s">
        <v>33</v>
      </c>
      <c r="H4" s="22" t="s">
        <v>34</v>
      </c>
      <c r="I4" s="22" t="s">
        <v>35</v>
      </c>
      <c r="J4" s="22" t="s">
        <v>36</v>
      </c>
      <c r="K4" s="22" t="s">
        <v>29</v>
      </c>
      <c r="L4" s="22" t="s">
        <v>36</v>
      </c>
      <c r="M4" s="22" t="s">
        <v>29</v>
      </c>
      <c r="N4" s="22" t="s">
        <v>36</v>
      </c>
      <c r="O4" s="22" t="s">
        <v>29</v>
      </c>
      <c r="P4" s="22" t="s">
        <v>36</v>
      </c>
      <c r="Q4" s="22" t="s">
        <v>29</v>
      </c>
      <c r="R4" s="22" t="s">
        <v>36</v>
      </c>
      <c r="S4" s="22" t="s">
        <v>29</v>
      </c>
      <c r="T4" s="22" t="s">
        <v>30</v>
      </c>
      <c r="U4" s="22" t="s">
        <v>29</v>
      </c>
      <c r="V4" s="22" t="s">
        <v>29</v>
      </c>
      <c r="W4" s="22" t="s">
        <v>29</v>
      </c>
      <c r="X4" s="22" t="s">
        <v>29</v>
      </c>
      <c r="Y4" s="22"/>
      <c r="Z4" s="22"/>
      <c r="AA4" s="22"/>
      <c r="AB4" s="22"/>
      <c r="AC4" s="22"/>
      <c r="AD4" s="23"/>
    </row>
    <row r="5" spans="1:30" x14ac:dyDescent="0.25">
      <c r="A5" s="1">
        <v>1</v>
      </c>
      <c r="B5" s="2" t="s">
        <v>39</v>
      </c>
      <c r="C5" s="2" t="s">
        <v>40</v>
      </c>
      <c r="D5" s="1">
        <f>1025+1060+1050+1100+1250+950</f>
        <v>6435</v>
      </c>
      <c r="E5" s="1">
        <f>200+200+200+200+250+150</f>
        <v>1200</v>
      </c>
      <c r="F5" s="1"/>
      <c r="G5" s="1"/>
      <c r="H5" s="1">
        <f>25+40+20+30+110</f>
        <v>225</v>
      </c>
      <c r="I5" s="1"/>
      <c r="J5" s="1">
        <f>10+10</f>
        <v>20</v>
      </c>
      <c r="K5" s="1">
        <f>5+10</f>
        <v>15</v>
      </c>
      <c r="L5" s="1"/>
      <c r="M5" s="1">
        <f>5+10</f>
        <v>15</v>
      </c>
      <c r="N5" s="1">
        <f>5+10</f>
        <v>15</v>
      </c>
      <c r="O5" s="1">
        <f>10</f>
        <v>10</v>
      </c>
      <c r="P5" s="1">
        <f>10+50</f>
        <v>60</v>
      </c>
      <c r="Q5" s="1">
        <f>10+50</f>
        <v>60</v>
      </c>
      <c r="R5" s="1">
        <f>10+50</f>
        <v>60</v>
      </c>
      <c r="S5" s="1"/>
      <c r="T5" s="1">
        <v>20</v>
      </c>
      <c r="U5" s="1"/>
      <c r="V5" s="1"/>
      <c r="W5" s="1"/>
      <c r="X5" s="1"/>
      <c r="Y5" s="3">
        <f>391473+413414+382657+403507+441977+406165</f>
        <v>2439193</v>
      </c>
      <c r="Z5" s="3">
        <f>15151+8652+15151</f>
        <v>38954</v>
      </c>
      <c r="AA5" s="3">
        <f>2786+26831+80499</f>
        <v>110116</v>
      </c>
      <c r="AB5" s="3">
        <v>18394</v>
      </c>
      <c r="AC5" s="3"/>
      <c r="AD5" s="4">
        <f>Y5+Z5+AA5+AC5+AB5</f>
        <v>2606657</v>
      </c>
    </row>
    <row r="6" spans="1:30" x14ac:dyDescent="0.25">
      <c r="A6" s="1">
        <v>2</v>
      </c>
      <c r="B6" s="2" t="s">
        <v>41</v>
      </c>
      <c r="C6" s="2" t="s">
        <v>42</v>
      </c>
      <c r="D6" s="1">
        <f>1550+920+850+900+1350+800+1150+1100</f>
        <v>8620</v>
      </c>
      <c r="E6" s="1">
        <f>40+200+200+100+230+200+100</f>
        <v>1070</v>
      </c>
      <c r="F6" s="1"/>
      <c r="G6" s="1"/>
      <c r="H6" s="1">
        <f>40+100+70+100+15</f>
        <v>325</v>
      </c>
      <c r="I6" s="1"/>
      <c r="J6" s="1"/>
      <c r="K6" s="1">
        <f>4</f>
        <v>4</v>
      </c>
      <c r="L6" s="1"/>
      <c r="M6" s="1">
        <f>4</f>
        <v>4</v>
      </c>
      <c r="N6" s="1">
        <f>5+10</f>
        <v>15</v>
      </c>
      <c r="O6" s="1">
        <f>10</f>
        <v>10</v>
      </c>
      <c r="P6" s="1">
        <f>10</f>
        <v>10</v>
      </c>
      <c r="Q6" s="1">
        <f>10</f>
        <v>10</v>
      </c>
      <c r="R6" s="1">
        <f>10</f>
        <v>10</v>
      </c>
      <c r="S6" s="1">
        <f>5</f>
        <v>5</v>
      </c>
      <c r="T6" s="1"/>
      <c r="U6" s="1"/>
      <c r="V6" s="1"/>
      <c r="W6" s="1"/>
      <c r="X6" s="1"/>
      <c r="Y6" s="3">
        <f>402513+293958+397958+385908+391419+400495+391457+340631</f>
        <v>3004339</v>
      </c>
      <c r="Z6" s="3">
        <f>6921</f>
        <v>6921</v>
      </c>
      <c r="AA6" s="3">
        <f>2787+29511</f>
        <v>32298</v>
      </c>
      <c r="AB6" s="3"/>
      <c r="AC6" s="3"/>
      <c r="AD6" s="4">
        <f t="shared" ref="AD6:AD70" si="0">Y6+Z6+AA6+AC6+AB6</f>
        <v>3043558</v>
      </c>
    </row>
    <row r="7" spans="1:30" x14ac:dyDescent="0.25">
      <c r="A7" s="1">
        <v>3</v>
      </c>
      <c r="B7" s="5" t="s">
        <v>43</v>
      </c>
      <c r="C7" s="2" t="s">
        <v>44</v>
      </c>
      <c r="D7" s="1">
        <f>1000+500</f>
        <v>1500</v>
      </c>
      <c r="E7" s="1">
        <f>80+200</f>
        <v>280</v>
      </c>
      <c r="F7" s="1"/>
      <c r="G7" s="1"/>
      <c r="H7" s="1">
        <f>40+80</f>
        <v>120</v>
      </c>
      <c r="I7" s="1"/>
      <c r="J7" s="1"/>
      <c r="K7" s="1">
        <v>5</v>
      </c>
      <c r="L7" s="1"/>
      <c r="M7" s="1">
        <v>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">
        <f>325836+293132</f>
        <v>618968</v>
      </c>
      <c r="Z7" s="3">
        <v>8651</v>
      </c>
      <c r="AA7" s="3"/>
      <c r="AB7" s="3"/>
      <c r="AC7" s="3"/>
      <c r="AD7" s="4">
        <f t="shared" si="0"/>
        <v>627619</v>
      </c>
    </row>
    <row r="8" spans="1:30" x14ac:dyDescent="0.25">
      <c r="A8" s="1">
        <v>4</v>
      </c>
      <c r="B8" s="2" t="s">
        <v>45</v>
      </c>
      <c r="C8" s="2" t="s">
        <v>46</v>
      </c>
      <c r="D8" s="1">
        <f>250</f>
        <v>250</v>
      </c>
      <c r="E8" s="1">
        <f>150</f>
        <v>150</v>
      </c>
      <c r="F8" s="1"/>
      <c r="G8" s="1"/>
      <c r="H8" s="1">
        <f>150</f>
        <v>150</v>
      </c>
      <c r="I8" s="1"/>
      <c r="J8" s="1"/>
      <c r="K8" s="1"/>
      <c r="L8" s="1"/>
      <c r="M8" s="1"/>
      <c r="N8" s="1">
        <f>37</f>
        <v>37</v>
      </c>
      <c r="O8" s="1">
        <f>25</f>
        <v>25</v>
      </c>
      <c r="P8" s="1">
        <f>50</f>
        <v>50</v>
      </c>
      <c r="Q8" s="1">
        <f>25</f>
        <v>25</v>
      </c>
      <c r="R8" s="1">
        <f>20</f>
        <v>20</v>
      </c>
      <c r="S8" s="1"/>
      <c r="T8" s="1"/>
      <c r="U8" s="1"/>
      <c r="V8" s="1"/>
      <c r="W8" s="1"/>
      <c r="X8" s="1"/>
      <c r="Y8" s="3">
        <f>262313</f>
        <v>262313</v>
      </c>
      <c r="Z8" s="3"/>
      <c r="AA8" s="3">
        <f>84258</f>
        <v>84258</v>
      </c>
      <c r="AB8" s="3"/>
      <c r="AC8" s="3"/>
      <c r="AD8" s="4">
        <f t="shared" si="0"/>
        <v>346571</v>
      </c>
    </row>
    <row r="9" spans="1:30" x14ac:dyDescent="0.25">
      <c r="A9" s="1">
        <v>5</v>
      </c>
      <c r="B9" s="2" t="s">
        <v>47</v>
      </c>
      <c r="C9" s="2" t="s">
        <v>48</v>
      </c>
      <c r="D9" s="1">
        <f>800+800</f>
        <v>1600</v>
      </c>
      <c r="E9" s="1">
        <f>120+100</f>
        <v>220</v>
      </c>
      <c r="F9" s="1"/>
      <c r="G9" s="1"/>
      <c r="H9" s="1">
        <f>150+100</f>
        <v>250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">
        <f>386029+334795</f>
        <v>720824</v>
      </c>
      <c r="Z9" s="3"/>
      <c r="AA9" s="3"/>
      <c r="AB9" s="3"/>
      <c r="AC9" s="3"/>
      <c r="AD9" s="4">
        <f t="shared" si="0"/>
        <v>720824</v>
      </c>
    </row>
    <row r="10" spans="1:30" x14ac:dyDescent="0.25">
      <c r="A10" s="1">
        <v>6</v>
      </c>
      <c r="B10" s="2" t="s">
        <v>199</v>
      </c>
      <c r="C10" s="2" t="s">
        <v>200</v>
      </c>
      <c r="D10" s="1">
        <f>790+800</f>
        <v>1590</v>
      </c>
      <c r="E10" s="1">
        <f>150+50</f>
        <v>200</v>
      </c>
      <c r="F10" s="1"/>
      <c r="G10" s="1"/>
      <c r="H10" s="1">
        <f>10+150</f>
        <v>160</v>
      </c>
      <c r="I10" s="1"/>
      <c r="J10" s="1"/>
      <c r="K10" s="1"/>
      <c r="L10" s="1"/>
      <c r="M10" s="1"/>
      <c r="N10" s="1">
        <f>10</f>
        <v>10</v>
      </c>
      <c r="O10" s="1">
        <f>50</f>
        <v>50</v>
      </c>
      <c r="P10" s="1">
        <f>10</f>
        <v>10</v>
      </c>
      <c r="Q10" s="1">
        <f>50</f>
        <v>50</v>
      </c>
      <c r="R10" s="1">
        <f>10</f>
        <v>10</v>
      </c>
      <c r="S10" s="1">
        <f>5</f>
        <v>5</v>
      </c>
      <c r="T10" s="1"/>
      <c r="U10" s="1"/>
      <c r="V10" s="1"/>
      <c r="W10" s="1"/>
      <c r="X10" s="1"/>
      <c r="Y10" s="3">
        <f>291626+350652</f>
        <v>642278</v>
      </c>
      <c r="Z10" s="3"/>
      <c r="AA10" s="3">
        <v>72398</v>
      </c>
      <c r="AB10" s="3"/>
      <c r="AC10" s="3"/>
      <c r="AD10" s="4">
        <f t="shared" si="0"/>
        <v>714676</v>
      </c>
    </row>
    <row r="11" spans="1:30" x14ac:dyDescent="0.25">
      <c r="A11" s="1">
        <v>7</v>
      </c>
      <c r="B11" s="2" t="s">
        <v>49</v>
      </c>
      <c r="C11" s="2" t="s">
        <v>50</v>
      </c>
      <c r="D11" s="1">
        <f>1250+800</f>
        <v>2050</v>
      </c>
      <c r="E11" s="1">
        <f>100+60</f>
        <v>160</v>
      </c>
      <c r="F11" s="1"/>
      <c r="G11" s="1"/>
      <c r="H11" s="1">
        <f>30+30</f>
        <v>60</v>
      </c>
      <c r="I11" s="1"/>
      <c r="J11" s="1"/>
      <c r="K11" s="1">
        <v>5</v>
      </c>
      <c r="L11" s="1"/>
      <c r="M11" s="1"/>
      <c r="N11" s="1">
        <v>15</v>
      </c>
      <c r="O11" s="1"/>
      <c r="P11" s="1">
        <v>15</v>
      </c>
      <c r="Q11" s="1">
        <v>50</v>
      </c>
      <c r="R11" s="1">
        <v>15</v>
      </c>
      <c r="S11" s="1"/>
      <c r="T11" s="1">
        <v>30</v>
      </c>
      <c r="U11" s="1"/>
      <c r="V11" s="1"/>
      <c r="W11" s="1"/>
      <c r="X11" s="1"/>
      <c r="Y11" s="3">
        <f>390845+257002</f>
        <v>647847</v>
      </c>
      <c r="Z11" s="3">
        <v>4325</v>
      </c>
      <c r="AA11" s="3">
        <v>50967</v>
      </c>
      <c r="AB11" s="3">
        <v>27591</v>
      </c>
      <c r="AC11" s="3"/>
      <c r="AD11" s="4">
        <f t="shared" si="0"/>
        <v>730730</v>
      </c>
    </row>
    <row r="12" spans="1:30" x14ac:dyDescent="0.25">
      <c r="A12" s="1">
        <v>8</v>
      </c>
      <c r="B12" s="2" t="s">
        <v>195</v>
      </c>
      <c r="C12" s="2" t="s">
        <v>196</v>
      </c>
      <c r="D12" s="1">
        <f>900+500</f>
        <v>1400</v>
      </c>
      <c r="E12" s="1">
        <f>150+100</f>
        <v>250</v>
      </c>
      <c r="F12" s="1"/>
      <c r="G12" s="1"/>
      <c r="H12" s="1">
        <f>35+30</f>
        <v>65</v>
      </c>
      <c r="I12" s="1"/>
      <c r="J12" s="1">
        <f>30</f>
        <v>30</v>
      </c>
      <c r="K12" s="1"/>
      <c r="L12" s="1">
        <f>7</f>
        <v>7</v>
      </c>
      <c r="M12" s="1"/>
      <c r="N12" s="1">
        <v>20</v>
      </c>
      <c r="O12" s="1">
        <v>50</v>
      </c>
      <c r="P12" s="1">
        <v>10</v>
      </c>
      <c r="Q12" s="1">
        <v>20</v>
      </c>
      <c r="R12" s="1">
        <v>15</v>
      </c>
      <c r="S12" s="1"/>
      <c r="T12" s="1">
        <v>50</v>
      </c>
      <c r="U12" s="1"/>
      <c r="V12" s="1"/>
      <c r="W12" s="1"/>
      <c r="X12" s="1"/>
      <c r="Y12" s="3">
        <f>331850+201466</f>
        <v>533316</v>
      </c>
      <c r="Z12" s="3">
        <v>24048</v>
      </c>
      <c r="AA12" s="3">
        <v>61689</v>
      </c>
      <c r="AB12" s="3">
        <f>45100</f>
        <v>45100</v>
      </c>
      <c r="AC12" s="3"/>
      <c r="AD12" s="4">
        <f t="shared" si="0"/>
        <v>664153</v>
      </c>
    </row>
    <row r="13" spans="1:30" x14ac:dyDescent="0.25">
      <c r="A13" s="1">
        <v>9</v>
      </c>
      <c r="B13" s="6" t="s">
        <v>53</v>
      </c>
      <c r="C13" s="2" t="s">
        <v>54</v>
      </c>
      <c r="D13" s="1">
        <f>650+900+800+500</f>
        <v>2850</v>
      </c>
      <c r="E13" s="1">
        <f>220+230+170</f>
        <v>620</v>
      </c>
      <c r="F13" s="1">
        <f>10</f>
        <v>10</v>
      </c>
      <c r="G13" s="1"/>
      <c r="H13" s="1">
        <f>30+20</f>
        <v>50</v>
      </c>
      <c r="I13" s="1"/>
      <c r="J13" s="1"/>
      <c r="K13" s="1">
        <f>5</f>
        <v>5</v>
      </c>
      <c r="L13" s="1"/>
      <c r="M13" s="1">
        <f>5</f>
        <v>5</v>
      </c>
      <c r="N13" s="1">
        <v>50</v>
      </c>
      <c r="O13" s="1">
        <v>25</v>
      </c>
      <c r="P13" s="1">
        <v>50</v>
      </c>
      <c r="Q13" s="1">
        <v>25</v>
      </c>
      <c r="R13" s="1">
        <v>25</v>
      </c>
      <c r="S13" s="1"/>
      <c r="T13" s="1">
        <f>80</f>
        <v>80</v>
      </c>
      <c r="U13" s="1"/>
      <c r="V13" s="1"/>
      <c r="W13" s="1"/>
      <c r="X13" s="1"/>
      <c r="Y13" s="3">
        <f>291714+368168+202003+228618</f>
        <v>1090503</v>
      </c>
      <c r="Z13" s="3">
        <f>8652</f>
        <v>8652</v>
      </c>
      <c r="AA13" s="3">
        <v>93923</v>
      </c>
      <c r="AB13" s="3">
        <f>70630</f>
        <v>70630</v>
      </c>
      <c r="AC13" s="3"/>
      <c r="AD13" s="4">
        <f t="shared" si="0"/>
        <v>1263708</v>
      </c>
    </row>
    <row r="14" spans="1:30" x14ac:dyDescent="0.25">
      <c r="A14" s="1">
        <v>10</v>
      </c>
      <c r="B14" s="6" t="s">
        <v>203</v>
      </c>
      <c r="C14" s="2" t="s">
        <v>204</v>
      </c>
      <c r="D14" s="1">
        <f>700</f>
        <v>700</v>
      </c>
      <c r="E14" s="1">
        <f>50</f>
        <v>50</v>
      </c>
      <c r="F14" s="1"/>
      <c r="G14" s="1"/>
      <c r="H14" s="1"/>
      <c r="I14" s="1"/>
      <c r="J14" s="1"/>
      <c r="K14" s="1"/>
      <c r="L14" s="1">
        <f>10</f>
        <v>10</v>
      </c>
      <c r="M14" s="1">
        <f>10</f>
        <v>10</v>
      </c>
      <c r="N14" s="1">
        <f>25</f>
        <v>25</v>
      </c>
      <c r="O14" s="1">
        <f>5</f>
        <v>5</v>
      </c>
      <c r="P14" s="1"/>
      <c r="Q14" s="1"/>
      <c r="R14" s="1"/>
      <c r="S14" s="1"/>
      <c r="T14" s="1"/>
      <c r="U14" s="1"/>
      <c r="V14" s="1"/>
      <c r="W14" s="1"/>
      <c r="X14" s="1"/>
      <c r="Y14" s="3">
        <f>202022</f>
        <v>202022</v>
      </c>
      <c r="Z14" s="3">
        <f>15151</f>
        <v>15151</v>
      </c>
      <c r="AA14" s="3">
        <f>16720</f>
        <v>16720</v>
      </c>
      <c r="AB14" s="3"/>
      <c r="AC14" s="3"/>
      <c r="AD14" s="4">
        <f t="shared" si="0"/>
        <v>233893</v>
      </c>
    </row>
    <row r="15" spans="1:30" x14ac:dyDescent="0.25">
      <c r="A15" s="1">
        <v>11</v>
      </c>
      <c r="B15" s="2" t="s">
        <v>55</v>
      </c>
      <c r="C15" s="2" t="s">
        <v>56</v>
      </c>
      <c r="D15" s="1">
        <f>600</f>
        <v>600</v>
      </c>
      <c r="E15" s="1">
        <f>150</f>
        <v>150</v>
      </c>
      <c r="F15" s="1">
        <f>30</f>
        <v>30</v>
      </c>
      <c r="G15" s="1"/>
      <c r="H15" s="1">
        <f>50</f>
        <v>50</v>
      </c>
      <c r="I15" s="1"/>
      <c r="J15" s="1"/>
      <c r="K15" s="1"/>
      <c r="L15" s="1"/>
      <c r="M15" s="1"/>
      <c r="N15" s="1">
        <f>25</f>
        <v>25</v>
      </c>
      <c r="O15" s="1">
        <f>25</f>
        <v>25</v>
      </c>
      <c r="P15" s="1">
        <f>25</f>
        <v>25</v>
      </c>
      <c r="Q15" s="1">
        <f>25</f>
        <v>25</v>
      </c>
      <c r="R15" s="1">
        <f>25</f>
        <v>25</v>
      </c>
      <c r="S15" s="1"/>
      <c r="T15" s="1"/>
      <c r="U15" s="1"/>
      <c r="V15" s="1"/>
      <c r="W15" s="1"/>
      <c r="X15" s="1"/>
      <c r="Y15" s="3">
        <f>293370</f>
        <v>293370</v>
      </c>
      <c r="Z15" s="3"/>
      <c r="AA15" s="3">
        <v>67076</v>
      </c>
      <c r="AB15" s="3"/>
      <c r="AC15" s="3"/>
      <c r="AD15" s="4">
        <f t="shared" si="0"/>
        <v>360446</v>
      </c>
    </row>
    <row r="16" spans="1:30" x14ac:dyDescent="0.25">
      <c r="A16" s="1">
        <v>12</v>
      </c>
      <c r="B16" s="2" t="s">
        <v>160</v>
      </c>
      <c r="C16" s="2" t="s">
        <v>161</v>
      </c>
      <c r="D16" s="1">
        <v>1100</v>
      </c>
      <c r="E16" s="1">
        <v>250</v>
      </c>
      <c r="F16" s="1">
        <v>10</v>
      </c>
      <c r="G16" s="1">
        <v>20</v>
      </c>
      <c r="H16" s="1">
        <v>84</v>
      </c>
      <c r="I16" s="1"/>
      <c r="J16" s="1"/>
      <c r="K16" s="1">
        <v>4</v>
      </c>
      <c r="L16" s="1">
        <v>10</v>
      </c>
      <c r="M16" s="1">
        <v>10</v>
      </c>
      <c r="N16" s="1"/>
      <c r="O16" s="1"/>
      <c r="P16" s="1">
        <v>25</v>
      </c>
      <c r="Q16" s="1">
        <v>50</v>
      </c>
      <c r="R16" s="1">
        <v>20</v>
      </c>
      <c r="S16" s="1"/>
      <c r="T16" s="1"/>
      <c r="U16" s="1"/>
      <c r="V16" s="1"/>
      <c r="W16" s="1"/>
      <c r="X16" s="1"/>
      <c r="Y16" s="3">
        <v>493136</v>
      </c>
      <c r="Z16" s="3">
        <v>18612</v>
      </c>
      <c r="AA16" s="3">
        <v>50968</v>
      </c>
      <c r="AB16" s="3"/>
      <c r="AC16" s="3"/>
      <c r="AD16" s="4">
        <f t="shared" si="0"/>
        <v>562716</v>
      </c>
    </row>
    <row r="17" spans="1:30" x14ac:dyDescent="0.25">
      <c r="A17" s="1">
        <v>13</v>
      </c>
      <c r="B17" s="2" t="s">
        <v>59</v>
      </c>
      <c r="C17" s="2" t="s">
        <v>60</v>
      </c>
      <c r="D17" s="1">
        <v>200</v>
      </c>
      <c r="E17" s="1">
        <v>70</v>
      </c>
      <c r="F17" s="1"/>
      <c r="G17" s="1"/>
      <c r="H17" s="1">
        <v>40</v>
      </c>
      <c r="I17" s="1"/>
      <c r="J17" s="1"/>
      <c r="K17" s="1"/>
      <c r="L17" s="1"/>
      <c r="M17" s="1"/>
      <c r="N17" s="1">
        <v>30</v>
      </c>
      <c r="O17" s="1">
        <v>50</v>
      </c>
      <c r="P17" s="1">
        <v>30</v>
      </c>
      <c r="Q17" s="1">
        <v>50</v>
      </c>
      <c r="R17" s="1">
        <v>30</v>
      </c>
      <c r="S17" s="1">
        <v>50</v>
      </c>
      <c r="T17" s="1">
        <v>50</v>
      </c>
      <c r="U17" s="1"/>
      <c r="V17" s="1"/>
      <c r="W17" s="1"/>
      <c r="X17" s="1"/>
      <c r="Y17" s="3">
        <v>118779</v>
      </c>
      <c r="Z17" s="3"/>
      <c r="AA17" s="3">
        <v>128740</v>
      </c>
      <c r="AB17" s="3">
        <v>45099</v>
      </c>
      <c r="AC17" s="3"/>
      <c r="AD17" s="4">
        <f t="shared" si="0"/>
        <v>292618</v>
      </c>
    </row>
    <row r="18" spans="1:30" x14ac:dyDescent="0.25">
      <c r="A18" s="1">
        <v>14</v>
      </c>
      <c r="B18" s="2" t="s">
        <v>61</v>
      </c>
      <c r="C18" s="2" t="s">
        <v>62</v>
      </c>
      <c r="D18" s="1">
        <f>850+1500</f>
        <v>2350</v>
      </c>
      <c r="E18" s="1">
        <f>200+150</f>
        <v>350</v>
      </c>
      <c r="F18" s="1">
        <f>5</f>
        <v>5</v>
      </c>
      <c r="G18" s="1"/>
      <c r="H18" s="1">
        <f>200+40</f>
        <v>240</v>
      </c>
      <c r="I18" s="1"/>
      <c r="J18" s="1">
        <f>5</f>
        <v>5</v>
      </c>
      <c r="K18" s="1">
        <f>5</f>
        <v>5</v>
      </c>
      <c r="L18" s="1"/>
      <c r="M18" s="1">
        <f>5</f>
        <v>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>
        <f>484366+487465</f>
        <v>971831</v>
      </c>
      <c r="Z18" s="3">
        <f>8652+3250</f>
        <v>11902</v>
      </c>
      <c r="AA18" s="3"/>
      <c r="AB18" s="3"/>
      <c r="AC18" s="3"/>
      <c r="AD18" s="4">
        <f t="shared" si="0"/>
        <v>983733</v>
      </c>
    </row>
    <row r="19" spans="1:30" x14ac:dyDescent="0.25">
      <c r="A19" s="1">
        <v>15</v>
      </c>
      <c r="B19" s="2" t="s">
        <v>63</v>
      </c>
      <c r="C19" s="2" t="s">
        <v>64</v>
      </c>
      <c r="D19" s="1">
        <f>1035+700</f>
        <v>1735</v>
      </c>
      <c r="E19" s="1">
        <f>50+100</f>
        <v>150</v>
      </c>
      <c r="F19" s="1">
        <f>15</f>
        <v>15</v>
      </c>
      <c r="G19" s="1">
        <f>5</f>
        <v>5</v>
      </c>
      <c r="H19" s="1">
        <f>15+20</f>
        <v>35</v>
      </c>
      <c r="I19" s="1"/>
      <c r="J19" s="1">
        <f>5</f>
        <v>5</v>
      </c>
      <c r="K19" s="1"/>
      <c r="L19" s="1">
        <f>5</f>
        <v>5</v>
      </c>
      <c r="M19" s="1"/>
      <c r="N19" s="1">
        <f>15</f>
        <v>15</v>
      </c>
      <c r="O19" s="1">
        <f>30</f>
        <v>30</v>
      </c>
      <c r="P19" s="1">
        <f>15</f>
        <v>15</v>
      </c>
      <c r="Q19" s="1">
        <f>30</f>
        <v>30</v>
      </c>
      <c r="R19" s="1">
        <f>15</f>
        <v>15</v>
      </c>
      <c r="S19" s="1"/>
      <c r="T19" s="1"/>
      <c r="U19" s="1"/>
      <c r="V19" s="1"/>
      <c r="W19" s="1"/>
      <c r="X19" s="1"/>
      <c r="Y19" s="3">
        <f>307596+259116</f>
        <v>566712</v>
      </c>
      <c r="Z19" s="3">
        <f>6500</f>
        <v>6500</v>
      </c>
      <c r="AA19" s="3">
        <f>56328</f>
        <v>56328</v>
      </c>
      <c r="AB19" s="3"/>
      <c r="AC19" s="3"/>
      <c r="AD19" s="4">
        <f t="shared" si="0"/>
        <v>629540</v>
      </c>
    </row>
    <row r="20" spans="1:30" x14ac:dyDescent="0.25">
      <c r="A20" s="1">
        <v>16</v>
      </c>
      <c r="B20" s="6" t="s">
        <v>65</v>
      </c>
      <c r="C20" s="2" t="s">
        <v>66</v>
      </c>
      <c r="D20" s="1">
        <f>1119+870</f>
        <v>1989</v>
      </c>
      <c r="E20" s="1">
        <f>300+51+320</f>
        <v>671</v>
      </c>
      <c r="F20" s="1">
        <f>20</f>
        <v>20</v>
      </c>
      <c r="G20" s="1">
        <f>10</f>
        <v>10</v>
      </c>
      <c r="H20" s="1">
        <f>100+60</f>
        <v>160</v>
      </c>
      <c r="I20" s="1"/>
      <c r="J20" s="1">
        <v>6</v>
      </c>
      <c r="K20" s="1">
        <v>4</v>
      </c>
      <c r="L20" s="1">
        <v>6</v>
      </c>
      <c r="M20" s="1">
        <v>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>
        <f>573109+430754</f>
        <v>1003863</v>
      </c>
      <c r="Z20" s="3">
        <f>14720</f>
        <v>14720</v>
      </c>
      <c r="AA20" s="3"/>
      <c r="AB20" s="3"/>
      <c r="AC20" s="3"/>
      <c r="AD20" s="4">
        <f t="shared" si="0"/>
        <v>1018583</v>
      </c>
    </row>
    <row r="21" spans="1:30" x14ac:dyDescent="0.25">
      <c r="A21" s="1">
        <v>17</v>
      </c>
      <c r="B21" s="6" t="s">
        <v>67</v>
      </c>
      <c r="C21" s="2" t="s">
        <v>68</v>
      </c>
      <c r="D21" s="1">
        <v>300</v>
      </c>
      <c r="E21" s="1">
        <v>500</v>
      </c>
      <c r="F21" s="1"/>
      <c r="G21" s="1"/>
      <c r="H21" s="1">
        <v>30</v>
      </c>
      <c r="I21" s="1"/>
      <c r="J21" s="1"/>
      <c r="K21" s="1"/>
      <c r="L21" s="1"/>
      <c r="M21" s="1"/>
      <c r="N21" s="1">
        <v>25</v>
      </c>
      <c r="O21" s="1"/>
      <c r="P21" s="1"/>
      <c r="Q21" s="1"/>
      <c r="R21" s="1">
        <v>25</v>
      </c>
      <c r="S21" s="1"/>
      <c r="T21" s="1"/>
      <c r="U21" s="1"/>
      <c r="V21" s="1"/>
      <c r="W21" s="1"/>
      <c r="X21" s="1"/>
      <c r="Y21" s="3">
        <v>349170</v>
      </c>
      <c r="Z21" s="3"/>
      <c r="AA21" s="3">
        <v>26847</v>
      </c>
      <c r="AB21" s="3"/>
      <c r="AC21" s="3"/>
      <c r="AD21" s="4">
        <f t="shared" si="0"/>
        <v>376017</v>
      </c>
    </row>
    <row r="22" spans="1:30" x14ac:dyDescent="0.25">
      <c r="A22" s="1">
        <v>18</v>
      </c>
      <c r="B22" s="6" t="s">
        <v>178</v>
      </c>
      <c r="C22" s="2" t="s">
        <v>70</v>
      </c>
      <c r="D22" s="1">
        <f>150+800</f>
        <v>950</v>
      </c>
      <c r="E22" s="1">
        <f>350+200</f>
        <v>550</v>
      </c>
      <c r="F22" s="1">
        <f>75</f>
        <v>75</v>
      </c>
      <c r="G22" s="1"/>
      <c r="H22" s="1">
        <f>75</f>
        <v>75</v>
      </c>
      <c r="I22" s="1"/>
      <c r="J22" s="1">
        <v>15</v>
      </c>
      <c r="K22" s="1"/>
      <c r="L22" s="1">
        <v>15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>
        <f>384832+308206</f>
        <v>693038</v>
      </c>
      <c r="Z22" s="3">
        <v>19430</v>
      </c>
      <c r="AA22" s="3"/>
      <c r="AB22" s="3"/>
      <c r="AC22" s="3"/>
      <c r="AD22" s="4">
        <f t="shared" si="0"/>
        <v>712468</v>
      </c>
    </row>
    <row r="23" spans="1:30" x14ac:dyDescent="0.25">
      <c r="A23" s="1">
        <v>19</v>
      </c>
      <c r="B23" s="6" t="s">
        <v>194</v>
      </c>
      <c r="C23" s="2" t="s">
        <v>172</v>
      </c>
      <c r="D23" s="1">
        <f>475+325</f>
        <v>800</v>
      </c>
      <c r="E23" s="1">
        <f>225+375</f>
        <v>600</v>
      </c>
      <c r="F23" s="1">
        <f>50+57</f>
        <v>107</v>
      </c>
      <c r="G23" s="1"/>
      <c r="H23" s="1">
        <f>50</f>
        <v>50</v>
      </c>
      <c r="I23" s="1"/>
      <c r="J23" s="1">
        <f>25</f>
        <v>25</v>
      </c>
      <c r="K23" s="1"/>
      <c r="L23" s="1">
        <f>20</f>
        <v>20</v>
      </c>
      <c r="M23" s="1">
        <f>10</f>
        <v>10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>
        <f>283491+360083</f>
        <v>643574</v>
      </c>
      <c r="Z23" s="3">
        <f>16248+21650</f>
        <v>37898</v>
      </c>
      <c r="AA23" s="3"/>
      <c r="AB23" s="3"/>
      <c r="AC23" s="3"/>
      <c r="AD23" s="4">
        <f t="shared" si="0"/>
        <v>681472</v>
      </c>
    </row>
    <row r="24" spans="1:30" x14ac:dyDescent="0.25">
      <c r="A24" s="1">
        <v>20</v>
      </c>
      <c r="B24" s="6" t="s">
        <v>191</v>
      </c>
      <c r="C24" s="2" t="s">
        <v>192</v>
      </c>
      <c r="D24" s="1">
        <v>350</v>
      </c>
      <c r="E24" s="1">
        <v>250</v>
      </c>
      <c r="F24" s="1">
        <v>10</v>
      </c>
      <c r="G24" s="1"/>
      <c r="H24" s="1">
        <v>40</v>
      </c>
      <c r="I24" s="1"/>
      <c r="J24" s="1"/>
      <c r="K24" s="1">
        <v>15</v>
      </c>
      <c r="L24" s="1"/>
      <c r="M24" s="1">
        <v>15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3">
        <v>255935</v>
      </c>
      <c r="Z24" s="3">
        <v>25955</v>
      </c>
      <c r="AA24" s="3"/>
      <c r="AB24" s="3"/>
      <c r="AC24" s="3"/>
      <c r="AD24" s="4">
        <f t="shared" si="0"/>
        <v>281890</v>
      </c>
    </row>
    <row r="25" spans="1:30" x14ac:dyDescent="0.25">
      <c r="A25" s="1">
        <v>21</v>
      </c>
      <c r="B25" s="6" t="s">
        <v>229</v>
      </c>
      <c r="C25" s="2" t="s">
        <v>230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"/>
      <c r="Z25" s="3"/>
      <c r="AA25" s="3"/>
      <c r="AB25" s="3"/>
      <c r="AC25" s="3"/>
      <c r="AD25" s="4">
        <f t="shared" si="0"/>
        <v>0</v>
      </c>
    </row>
    <row r="26" spans="1:30" x14ac:dyDescent="0.25">
      <c r="A26" s="1">
        <v>22</v>
      </c>
      <c r="B26" s="6" t="s">
        <v>244</v>
      </c>
      <c r="C26" s="2" t="s">
        <v>245</v>
      </c>
      <c r="D26" s="1">
        <v>200</v>
      </c>
      <c r="E26" s="1">
        <v>500</v>
      </c>
      <c r="F26" s="1"/>
      <c r="G26" s="1"/>
      <c r="H26" s="1">
        <v>30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">
        <v>374293</v>
      </c>
      <c r="Z26" s="3"/>
      <c r="AA26" s="3"/>
      <c r="AB26" s="3"/>
      <c r="AC26" s="3"/>
      <c r="AD26" s="4">
        <f t="shared" si="0"/>
        <v>374293</v>
      </c>
    </row>
    <row r="27" spans="1:30" x14ac:dyDescent="0.25">
      <c r="A27" s="1">
        <v>23</v>
      </c>
      <c r="B27" s="2" t="s">
        <v>71</v>
      </c>
      <c r="C27" s="2" t="s">
        <v>72</v>
      </c>
      <c r="D27" s="1">
        <f>500+500</f>
        <v>1000</v>
      </c>
      <c r="E27" s="1">
        <f>215+385</f>
        <v>600</v>
      </c>
      <c r="F27" s="1">
        <f>25+50</f>
        <v>75</v>
      </c>
      <c r="G27" s="1">
        <f>25+60</f>
        <v>85</v>
      </c>
      <c r="H27" s="1">
        <f>35+30</f>
        <v>65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">
        <f>297553+419334</f>
        <v>716887</v>
      </c>
      <c r="Z27" s="3"/>
      <c r="AA27" s="3"/>
      <c r="AB27" s="3"/>
      <c r="AC27" s="3"/>
      <c r="AD27" s="4">
        <f t="shared" si="0"/>
        <v>716887</v>
      </c>
    </row>
    <row r="28" spans="1:30" x14ac:dyDescent="0.25">
      <c r="A28" s="1">
        <v>24</v>
      </c>
      <c r="B28" s="2" t="s">
        <v>73</v>
      </c>
      <c r="C28" s="2" t="s">
        <v>74</v>
      </c>
      <c r="D28" s="1">
        <f>575</f>
        <v>575</v>
      </c>
      <c r="E28" s="1">
        <f>250</f>
        <v>250</v>
      </c>
      <c r="F28" s="1"/>
      <c r="G28" s="1"/>
      <c r="H28" s="1">
        <f>25</f>
        <v>25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3">
        <f>300582</f>
        <v>300582</v>
      </c>
      <c r="Z28" s="3"/>
      <c r="AA28" s="3"/>
      <c r="AB28" s="3"/>
      <c r="AC28" s="3"/>
      <c r="AD28" s="4">
        <f t="shared" si="0"/>
        <v>300582</v>
      </c>
    </row>
    <row r="29" spans="1:30" x14ac:dyDescent="0.25">
      <c r="A29" s="1">
        <v>25</v>
      </c>
      <c r="B29" s="2" t="s">
        <v>75</v>
      </c>
      <c r="C29" s="2" t="s">
        <v>76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8"/>
      <c r="Z29" s="8"/>
      <c r="AA29" s="8"/>
      <c r="AB29" s="8"/>
      <c r="AC29" s="8"/>
      <c r="AD29" s="4">
        <f t="shared" si="0"/>
        <v>0</v>
      </c>
    </row>
    <row r="30" spans="1:30" x14ac:dyDescent="0.25">
      <c r="A30" s="1">
        <v>26</v>
      </c>
      <c r="B30" s="2" t="s">
        <v>181</v>
      </c>
      <c r="C30" s="2" t="s">
        <v>182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8"/>
      <c r="Z30" s="8"/>
      <c r="AA30" s="8"/>
      <c r="AB30" s="8"/>
      <c r="AC30" s="8"/>
      <c r="AD30" s="4">
        <f t="shared" si="0"/>
        <v>0</v>
      </c>
    </row>
    <row r="31" spans="1:30" x14ac:dyDescent="0.25">
      <c r="A31" s="1">
        <v>27</v>
      </c>
      <c r="B31" s="2" t="s">
        <v>79</v>
      </c>
      <c r="C31" s="2" t="s">
        <v>80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8"/>
      <c r="Z31" s="8"/>
      <c r="AA31" s="8"/>
      <c r="AB31" s="8"/>
      <c r="AC31" s="8"/>
      <c r="AD31" s="4">
        <f t="shared" si="0"/>
        <v>0</v>
      </c>
    </row>
    <row r="32" spans="1:30" x14ac:dyDescent="0.25">
      <c r="A32" s="1">
        <v>28</v>
      </c>
      <c r="B32" s="2" t="s">
        <v>193</v>
      </c>
      <c r="C32" s="2" t="s">
        <v>80</v>
      </c>
      <c r="D32" s="7">
        <f>450</f>
        <v>450</v>
      </c>
      <c r="E32" s="7">
        <f>350</f>
        <v>350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8">
        <f>290512</f>
        <v>290512</v>
      </c>
      <c r="Z32" s="8"/>
      <c r="AA32" s="8"/>
      <c r="AB32" s="8"/>
      <c r="AC32" s="8"/>
      <c r="AD32" s="4">
        <f t="shared" si="0"/>
        <v>290512</v>
      </c>
    </row>
    <row r="33" spans="1:30" x14ac:dyDescent="0.25">
      <c r="A33" s="1">
        <v>29</v>
      </c>
      <c r="B33" s="2" t="s">
        <v>225</v>
      </c>
      <c r="C33" s="2" t="s">
        <v>80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8"/>
      <c r="Z33" s="8"/>
      <c r="AA33" s="8"/>
      <c r="AB33" s="8"/>
      <c r="AC33" s="8"/>
      <c r="AD33" s="4">
        <f t="shared" si="0"/>
        <v>0</v>
      </c>
    </row>
    <row r="34" spans="1:30" x14ac:dyDescent="0.25">
      <c r="A34" s="1">
        <v>30</v>
      </c>
      <c r="B34" s="2" t="s">
        <v>81</v>
      </c>
      <c r="C34" s="2" t="s">
        <v>82</v>
      </c>
      <c r="D34" s="1">
        <f>775+980+880</f>
        <v>2635</v>
      </c>
      <c r="E34" s="1">
        <f>150+120+120</f>
        <v>390</v>
      </c>
      <c r="F34" s="1"/>
      <c r="G34" s="1"/>
      <c r="H34" s="1">
        <f>25+20</f>
        <v>45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">
        <f>300582+316817+299300</f>
        <v>916699</v>
      </c>
      <c r="Z34" s="3"/>
      <c r="AA34" s="3"/>
      <c r="AB34" s="3"/>
      <c r="AC34" s="3"/>
      <c r="AD34" s="4">
        <f t="shared" si="0"/>
        <v>916699</v>
      </c>
    </row>
    <row r="35" spans="1:30" x14ac:dyDescent="0.25">
      <c r="A35" s="1">
        <v>31</v>
      </c>
      <c r="B35" s="2" t="s">
        <v>183</v>
      </c>
      <c r="C35" s="2" t="s">
        <v>184</v>
      </c>
      <c r="D35" s="1">
        <f>550+700</f>
        <v>1250</v>
      </c>
      <c r="E35" s="1">
        <f>150+50</f>
        <v>200</v>
      </c>
      <c r="F35" s="1">
        <v>50</v>
      </c>
      <c r="G35" s="1"/>
      <c r="H35" s="1">
        <v>150</v>
      </c>
      <c r="I35" s="1"/>
      <c r="J35" s="1"/>
      <c r="K35" s="1"/>
      <c r="L35" s="1"/>
      <c r="M35" s="1"/>
      <c r="N35" s="1">
        <v>20</v>
      </c>
      <c r="O35" s="1">
        <v>40</v>
      </c>
      <c r="P35" s="1">
        <v>10</v>
      </c>
      <c r="Q35" s="1">
        <v>20</v>
      </c>
      <c r="R35" s="1">
        <v>10</v>
      </c>
      <c r="S35" s="1">
        <v>10</v>
      </c>
      <c r="T35" s="1"/>
      <c r="U35" s="1">
        <v>10</v>
      </c>
      <c r="V35" s="1">
        <v>10</v>
      </c>
      <c r="W35" s="1">
        <v>10</v>
      </c>
      <c r="X35" s="1"/>
      <c r="Y35" s="3">
        <f>379619+202022</f>
        <v>581641</v>
      </c>
      <c r="Z35" s="3"/>
      <c r="AA35" s="3">
        <v>59005</v>
      </c>
      <c r="AB35" s="3"/>
      <c r="AC35" s="3">
        <v>13402</v>
      </c>
      <c r="AD35" s="4">
        <f t="shared" si="0"/>
        <v>654048</v>
      </c>
    </row>
    <row r="36" spans="1:30" x14ac:dyDescent="0.25">
      <c r="A36" s="1">
        <v>32</v>
      </c>
      <c r="B36" s="2" t="s">
        <v>227</v>
      </c>
      <c r="C36" s="2" t="s">
        <v>157</v>
      </c>
      <c r="D36" s="1">
        <f>650+600</f>
        <v>1250</v>
      </c>
      <c r="E36" s="1">
        <f>100+150</f>
        <v>250</v>
      </c>
      <c r="F36" s="1">
        <f>80+30</f>
        <v>110</v>
      </c>
      <c r="G36" s="1"/>
      <c r="H36" s="1">
        <f>80+150</f>
        <v>230</v>
      </c>
      <c r="I36" s="1"/>
      <c r="J36" s="1">
        <f>16+20</f>
        <v>36</v>
      </c>
      <c r="K36" s="1">
        <f>5</f>
        <v>5</v>
      </c>
      <c r="L36" s="1">
        <f>20+20</f>
        <v>40</v>
      </c>
      <c r="M36" s="1">
        <f>5</f>
        <v>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">
        <f>336548+364354</f>
        <v>700902</v>
      </c>
      <c r="Z36" s="3">
        <f>31088+25218</f>
        <v>56306</v>
      </c>
      <c r="AA36" s="3"/>
      <c r="AB36" s="3"/>
      <c r="AC36" s="3"/>
      <c r="AD36" s="4">
        <f t="shared" si="0"/>
        <v>757208</v>
      </c>
    </row>
    <row r="37" spans="1:30" x14ac:dyDescent="0.25">
      <c r="A37" s="1">
        <v>33</v>
      </c>
      <c r="B37" s="2" t="s">
        <v>218</v>
      </c>
      <c r="C37" s="2" t="s">
        <v>219</v>
      </c>
      <c r="D37" s="1">
        <v>1000</v>
      </c>
      <c r="E37" s="1">
        <v>50</v>
      </c>
      <c r="F37" s="1"/>
      <c r="G37" s="1"/>
      <c r="H37" s="1">
        <v>70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">
        <v>351636</v>
      </c>
      <c r="Z37" s="3"/>
      <c r="AA37" s="3"/>
      <c r="AB37" s="3"/>
      <c r="AC37" s="3"/>
      <c r="AD37" s="4">
        <f t="shared" si="0"/>
        <v>351636</v>
      </c>
    </row>
    <row r="38" spans="1:30" x14ac:dyDescent="0.25">
      <c r="A38" s="1">
        <v>34</v>
      </c>
      <c r="B38" s="2" t="s">
        <v>197</v>
      </c>
      <c r="C38" s="2" t="s">
        <v>198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3"/>
      <c r="AA38" s="3"/>
      <c r="AB38" s="3"/>
      <c r="AC38" s="3"/>
      <c r="AD38" s="4">
        <f t="shared" si="0"/>
        <v>0</v>
      </c>
    </row>
    <row r="39" spans="1:30" x14ac:dyDescent="0.25">
      <c r="A39" s="1">
        <v>35</v>
      </c>
      <c r="B39" s="2" t="s">
        <v>206</v>
      </c>
      <c r="C39" s="2" t="s">
        <v>207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3"/>
      <c r="AA39" s="3"/>
      <c r="AB39" s="3"/>
      <c r="AC39" s="3"/>
      <c r="AD39" s="4">
        <f t="shared" si="0"/>
        <v>0</v>
      </c>
    </row>
    <row r="40" spans="1:30" x14ac:dyDescent="0.25">
      <c r="A40" s="1">
        <v>36</v>
      </c>
      <c r="B40" s="2" t="s">
        <v>209</v>
      </c>
      <c r="C40" s="2" t="s">
        <v>208</v>
      </c>
      <c r="D40" s="1">
        <f>180</f>
        <v>180</v>
      </c>
      <c r="E40" s="1">
        <f>20</f>
        <v>20</v>
      </c>
      <c r="F40" s="1"/>
      <c r="G40" s="1"/>
      <c r="H40" s="1">
        <f>50</f>
        <v>50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">
        <f>99971</f>
        <v>99971</v>
      </c>
      <c r="Z40" s="3"/>
      <c r="AA40" s="3"/>
      <c r="AB40" s="3"/>
      <c r="AC40" s="3"/>
      <c r="AD40" s="4">
        <f t="shared" si="0"/>
        <v>99971</v>
      </c>
    </row>
    <row r="41" spans="1:30" x14ac:dyDescent="0.25">
      <c r="A41" s="1">
        <v>37</v>
      </c>
      <c r="B41" s="2" t="s">
        <v>216</v>
      </c>
      <c r="C41" s="2" t="s">
        <v>217</v>
      </c>
      <c r="D41" s="1">
        <v>600</v>
      </c>
      <c r="E41" s="1">
        <v>30</v>
      </c>
      <c r="F41" s="1"/>
      <c r="G41" s="1"/>
      <c r="H41" s="1">
        <v>120</v>
      </c>
      <c r="I41" s="1"/>
      <c r="J41" s="1"/>
      <c r="K41" s="1"/>
      <c r="L41" s="1"/>
      <c r="M41" s="1"/>
      <c r="N41" s="1">
        <v>20</v>
      </c>
      <c r="O41" s="1">
        <v>40</v>
      </c>
      <c r="P41" s="1">
        <v>10</v>
      </c>
      <c r="Q41" s="1">
        <v>15</v>
      </c>
      <c r="R41" s="1">
        <v>10</v>
      </c>
      <c r="S41" s="1"/>
      <c r="T41" s="1"/>
      <c r="U41" s="1">
        <v>10</v>
      </c>
      <c r="V41" s="1">
        <v>10</v>
      </c>
      <c r="W41" s="1">
        <v>10</v>
      </c>
      <c r="X41" s="1">
        <v>10</v>
      </c>
      <c r="Y41" s="3">
        <v>265367</v>
      </c>
      <c r="Z41" s="3"/>
      <c r="AA41" s="3">
        <v>50964</v>
      </c>
      <c r="AB41" s="3"/>
      <c r="AC41" s="3">
        <v>17870</v>
      </c>
      <c r="AD41" s="4">
        <f t="shared" si="0"/>
        <v>334201</v>
      </c>
    </row>
    <row r="42" spans="1:30" x14ac:dyDescent="0.25">
      <c r="A42" s="1">
        <v>38</v>
      </c>
      <c r="B42" s="2" t="s">
        <v>221</v>
      </c>
      <c r="C42" s="2" t="s">
        <v>222</v>
      </c>
      <c r="D42" s="1">
        <v>400</v>
      </c>
      <c r="E42" s="1">
        <v>100</v>
      </c>
      <c r="F42" s="1">
        <v>10</v>
      </c>
      <c r="G42" s="1"/>
      <c r="H42" s="1"/>
      <c r="I42" s="1"/>
      <c r="J42" s="1">
        <v>36</v>
      </c>
      <c r="K42" s="1">
        <v>16</v>
      </c>
      <c r="L42" s="1">
        <v>28</v>
      </c>
      <c r="M42" s="1"/>
      <c r="N42" s="1">
        <v>75</v>
      </c>
      <c r="O42" s="1">
        <v>50</v>
      </c>
      <c r="P42" s="1">
        <v>75</v>
      </c>
      <c r="Q42" s="1">
        <v>50</v>
      </c>
      <c r="R42" s="1">
        <v>50</v>
      </c>
      <c r="S42" s="1">
        <v>38</v>
      </c>
      <c r="T42" s="1"/>
      <c r="U42" s="1"/>
      <c r="V42" s="1"/>
      <c r="W42" s="1"/>
      <c r="X42" s="1"/>
      <c r="Y42" s="3">
        <v>159851</v>
      </c>
      <c r="Z42" s="3">
        <v>55439</v>
      </c>
      <c r="AA42" s="3">
        <v>181371</v>
      </c>
      <c r="AB42" s="3"/>
      <c r="AC42" s="3"/>
      <c r="AD42" s="4">
        <f t="shared" si="0"/>
        <v>396661</v>
      </c>
    </row>
    <row r="43" spans="1:30" x14ac:dyDescent="0.25">
      <c r="A43" s="1">
        <v>39</v>
      </c>
      <c r="B43" s="2" t="s">
        <v>231</v>
      </c>
      <c r="C43" s="2" t="s">
        <v>232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/>
      <c r="Z43" s="3"/>
      <c r="AA43" s="3"/>
      <c r="AB43" s="3"/>
      <c r="AC43" s="3"/>
      <c r="AD43" s="4">
        <f t="shared" si="0"/>
        <v>0</v>
      </c>
    </row>
    <row r="44" spans="1:30" x14ac:dyDescent="0.25">
      <c r="A44" s="1">
        <v>40</v>
      </c>
      <c r="B44" s="2" t="s">
        <v>248</v>
      </c>
      <c r="C44" s="2" t="s">
        <v>249</v>
      </c>
      <c r="D44" s="1">
        <v>800</v>
      </c>
      <c r="E44" s="1">
        <v>170</v>
      </c>
      <c r="F44" s="1">
        <v>50</v>
      </c>
      <c r="G44" s="1"/>
      <c r="H44" s="1">
        <v>130</v>
      </c>
      <c r="I44" s="1"/>
      <c r="J44" s="1"/>
      <c r="K44" s="1"/>
      <c r="L44" s="1"/>
      <c r="M44" s="1"/>
      <c r="N44" s="1">
        <v>10</v>
      </c>
      <c r="O44" s="1">
        <v>10</v>
      </c>
      <c r="P44" s="1">
        <v>10</v>
      </c>
      <c r="Q44" s="1">
        <v>10</v>
      </c>
      <c r="R44" s="1">
        <v>5</v>
      </c>
      <c r="S44" s="1"/>
      <c r="T44" s="1"/>
      <c r="U44" s="1"/>
      <c r="V44" s="1"/>
      <c r="W44" s="1"/>
      <c r="X44" s="1"/>
      <c r="Y44" s="3">
        <v>436403</v>
      </c>
      <c r="Z44" s="3"/>
      <c r="AA44" s="3">
        <v>24145</v>
      </c>
      <c r="AB44" s="3"/>
      <c r="AC44" s="3"/>
      <c r="AD44" s="4">
        <f t="shared" si="0"/>
        <v>460548</v>
      </c>
    </row>
    <row r="45" spans="1:30" x14ac:dyDescent="0.25">
      <c r="A45" s="1"/>
      <c r="B45" s="28" t="s">
        <v>162</v>
      </c>
      <c r="C45" s="28" t="s">
        <v>163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3"/>
      <c r="AA45" s="3"/>
      <c r="AB45" s="3"/>
      <c r="AC45" s="3"/>
      <c r="AD45" s="4">
        <f t="shared" si="0"/>
        <v>0</v>
      </c>
    </row>
    <row r="46" spans="1:30" x14ac:dyDescent="0.25">
      <c r="A46" s="1">
        <v>41</v>
      </c>
      <c r="B46" s="34" t="s">
        <v>251</v>
      </c>
      <c r="C46" s="34" t="s">
        <v>163</v>
      </c>
      <c r="D46" s="1">
        <v>200</v>
      </c>
      <c r="E46" s="1">
        <v>150</v>
      </c>
      <c r="F46" s="1">
        <v>40</v>
      </c>
      <c r="G46" s="1"/>
      <c r="H46" s="1">
        <v>50</v>
      </c>
      <c r="I46" s="1"/>
      <c r="J46" s="1">
        <v>20</v>
      </c>
      <c r="K46" s="1"/>
      <c r="L46" s="1">
        <v>20</v>
      </c>
      <c r="M46" s="1"/>
      <c r="N46" s="1">
        <v>25</v>
      </c>
      <c r="O46" s="1">
        <v>15</v>
      </c>
      <c r="P46" s="1">
        <v>25</v>
      </c>
      <c r="Q46" s="1">
        <v>15</v>
      </c>
      <c r="R46" s="1">
        <v>20</v>
      </c>
      <c r="S46" s="1">
        <v>15</v>
      </c>
      <c r="T46" s="1"/>
      <c r="U46" s="1"/>
      <c r="V46" s="1"/>
      <c r="W46" s="1"/>
      <c r="X46" s="1"/>
      <c r="Y46" s="3">
        <v>211384</v>
      </c>
      <c r="Z46" s="3">
        <v>26422</v>
      </c>
      <c r="AA46" s="3">
        <v>61711</v>
      </c>
      <c r="AB46" s="3"/>
      <c r="AC46" s="3"/>
      <c r="AD46" s="4">
        <f t="shared" si="0"/>
        <v>299517</v>
      </c>
    </row>
    <row r="47" spans="1:30" x14ac:dyDescent="0.25">
      <c r="A47" s="1">
        <v>42</v>
      </c>
      <c r="B47" s="2" t="s">
        <v>188</v>
      </c>
      <c r="C47" s="2" t="s">
        <v>189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3"/>
      <c r="AA47" s="3"/>
      <c r="AB47" s="3"/>
      <c r="AC47" s="3"/>
      <c r="AD47" s="4">
        <f t="shared" si="0"/>
        <v>0</v>
      </c>
    </row>
    <row r="48" spans="1:30" x14ac:dyDescent="0.25">
      <c r="A48" s="1">
        <v>43</v>
      </c>
      <c r="B48" s="2" t="s">
        <v>259</v>
      </c>
      <c r="C48" s="2" t="s">
        <v>260</v>
      </c>
      <c r="D48" s="1">
        <v>400</v>
      </c>
      <c r="E48" s="1">
        <v>100</v>
      </c>
      <c r="F48" s="1">
        <v>70</v>
      </c>
      <c r="G48" s="1"/>
      <c r="H48" s="1">
        <v>60</v>
      </c>
      <c r="I48" s="1"/>
      <c r="J48" s="1"/>
      <c r="K48" s="1"/>
      <c r="L48" s="1"/>
      <c r="M48" s="1"/>
      <c r="N48" s="1">
        <v>15</v>
      </c>
      <c r="O48" s="1">
        <v>20</v>
      </c>
      <c r="P48" s="1">
        <v>10</v>
      </c>
      <c r="Q48" s="1">
        <v>10</v>
      </c>
      <c r="R48" s="1"/>
      <c r="S48" s="1"/>
      <c r="T48" s="1">
        <v>20</v>
      </c>
      <c r="U48" s="1"/>
      <c r="V48" s="1"/>
      <c r="W48" s="1"/>
      <c r="X48" s="1"/>
      <c r="Y48" s="3">
        <v>263977</v>
      </c>
      <c r="Z48" s="3"/>
      <c r="AA48" s="3">
        <v>29507</v>
      </c>
      <c r="AB48" s="3">
        <v>18394</v>
      </c>
      <c r="AC48" s="3"/>
      <c r="AD48" s="4">
        <f t="shared" si="0"/>
        <v>311878</v>
      </c>
    </row>
    <row r="49" spans="1:30" x14ac:dyDescent="0.25">
      <c r="A49" s="1">
        <v>44</v>
      </c>
      <c r="B49" s="2" t="s">
        <v>236</v>
      </c>
      <c r="C49" s="2" t="s">
        <v>237</v>
      </c>
      <c r="D49" s="1">
        <f>905</f>
        <v>905</v>
      </c>
      <c r="E49" s="1">
        <f>350</f>
        <v>350</v>
      </c>
      <c r="F49" s="1">
        <f>50</f>
        <v>50</v>
      </c>
      <c r="G49" s="1">
        <f>10</f>
        <v>10</v>
      </c>
      <c r="H49" s="1">
        <f>50</f>
        <v>50</v>
      </c>
      <c r="I49" s="1"/>
      <c r="J49" s="1">
        <f>75</f>
        <v>75</v>
      </c>
      <c r="K49" s="1">
        <f>75</f>
        <v>75</v>
      </c>
      <c r="L49" s="1">
        <f>75</f>
        <v>75</v>
      </c>
      <c r="M49" s="1">
        <f>75</f>
        <v>75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>
        <f>761138</f>
        <v>761138</v>
      </c>
      <c r="Z49" s="3">
        <f>239375</f>
        <v>239375</v>
      </c>
      <c r="AA49" s="3"/>
      <c r="AB49" s="3"/>
      <c r="AC49" s="3"/>
      <c r="AD49" s="4">
        <f t="shared" si="0"/>
        <v>1000513</v>
      </c>
    </row>
    <row r="50" spans="1:30" x14ac:dyDescent="0.25">
      <c r="A50" s="1">
        <v>45</v>
      </c>
      <c r="B50" s="2" t="s">
        <v>177</v>
      </c>
      <c r="C50" s="2" t="s">
        <v>84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3"/>
      <c r="AA50" s="3"/>
      <c r="AB50" s="3"/>
      <c r="AC50" s="3"/>
      <c r="AD50" s="4">
        <f t="shared" si="0"/>
        <v>0</v>
      </c>
    </row>
    <row r="51" spans="1:30" x14ac:dyDescent="0.25">
      <c r="A51" s="1">
        <v>46</v>
      </c>
      <c r="B51" s="2" t="s">
        <v>213</v>
      </c>
      <c r="C51" s="2" t="s">
        <v>84</v>
      </c>
      <c r="D51" s="1">
        <v>1600</v>
      </c>
      <c r="E51" s="1">
        <v>700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>
        <v>957625</v>
      </c>
      <c r="Z51" s="3"/>
      <c r="AA51" s="3"/>
      <c r="AB51" s="3"/>
      <c r="AC51" s="3"/>
      <c r="AD51" s="4">
        <f t="shared" si="0"/>
        <v>957625</v>
      </c>
    </row>
    <row r="52" spans="1:30" x14ac:dyDescent="0.25">
      <c r="A52" s="1">
        <v>47</v>
      </c>
      <c r="B52" s="2" t="s">
        <v>85</v>
      </c>
      <c r="C52" s="2" t="s">
        <v>86</v>
      </c>
      <c r="D52" s="1">
        <v>360</v>
      </c>
      <c r="E52" s="1">
        <v>360</v>
      </c>
      <c r="F52" s="1"/>
      <c r="G52" s="1">
        <v>46</v>
      </c>
      <c r="H52" s="1">
        <v>100</v>
      </c>
      <c r="I52" s="1"/>
      <c r="J52" s="1"/>
      <c r="K52" s="1"/>
      <c r="L52" s="1"/>
      <c r="M52" s="1"/>
      <c r="N52" s="1">
        <v>5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3">
        <v>443396</v>
      </c>
      <c r="Z52" s="3"/>
      <c r="AA52" s="3">
        <v>2787</v>
      </c>
      <c r="AB52" s="3"/>
      <c r="AC52" s="3"/>
      <c r="AD52" s="4">
        <f t="shared" si="0"/>
        <v>446183</v>
      </c>
    </row>
    <row r="53" spans="1:30" x14ac:dyDescent="0.25">
      <c r="A53" s="1">
        <v>48</v>
      </c>
      <c r="B53" s="2" t="s">
        <v>87</v>
      </c>
      <c r="C53" s="2" t="s">
        <v>88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3"/>
      <c r="AA53" s="3"/>
      <c r="AB53" s="3"/>
      <c r="AC53" s="3"/>
      <c r="AD53" s="4">
        <f t="shared" si="0"/>
        <v>0</v>
      </c>
    </row>
    <row r="54" spans="1:30" x14ac:dyDescent="0.25">
      <c r="A54" s="1">
        <v>49</v>
      </c>
      <c r="B54" s="2" t="s">
        <v>89</v>
      </c>
      <c r="C54" s="2" t="s">
        <v>90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/>
      <c r="Z54" s="3"/>
      <c r="AA54" s="3"/>
      <c r="AB54" s="3"/>
      <c r="AC54" s="3"/>
      <c r="AD54" s="4">
        <f t="shared" si="0"/>
        <v>0</v>
      </c>
    </row>
    <row r="55" spans="1:30" x14ac:dyDescent="0.25">
      <c r="A55" s="1">
        <v>50</v>
      </c>
      <c r="B55" s="2" t="s">
        <v>91</v>
      </c>
      <c r="C55" s="2" t="s">
        <v>92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/>
      <c r="Z55" s="3"/>
      <c r="AA55" s="3"/>
      <c r="AB55" s="3"/>
      <c r="AC55" s="3"/>
      <c r="AD55" s="4">
        <f t="shared" si="0"/>
        <v>0</v>
      </c>
    </row>
    <row r="56" spans="1:30" x14ac:dyDescent="0.25">
      <c r="A56" s="1">
        <v>51</v>
      </c>
      <c r="B56" s="2" t="s">
        <v>93</v>
      </c>
      <c r="C56" s="2" t="s">
        <v>94</v>
      </c>
      <c r="D56" s="1">
        <v>1300</v>
      </c>
      <c r="E56" s="1">
        <v>900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>
        <v>957625</v>
      </c>
      <c r="Z56" s="3"/>
      <c r="AA56" s="3"/>
      <c r="AB56" s="3"/>
      <c r="AC56" s="3"/>
      <c r="AD56" s="4">
        <f t="shared" si="0"/>
        <v>957625</v>
      </c>
    </row>
    <row r="57" spans="1:30" x14ac:dyDescent="0.25">
      <c r="A57" s="1">
        <v>52</v>
      </c>
      <c r="B57" s="2" t="s">
        <v>95</v>
      </c>
      <c r="C57" s="2" t="s">
        <v>96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3"/>
      <c r="AA57" s="3"/>
      <c r="AB57" s="3"/>
      <c r="AC57" s="3"/>
      <c r="AD57" s="4">
        <f t="shared" si="0"/>
        <v>0</v>
      </c>
    </row>
    <row r="58" spans="1:30" x14ac:dyDescent="0.25">
      <c r="A58" s="1">
        <v>53</v>
      </c>
      <c r="B58" s="2" t="s">
        <v>97</v>
      </c>
      <c r="C58" s="2" t="s">
        <v>98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3"/>
      <c r="AA58" s="3"/>
      <c r="AB58" s="3"/>
      <c r="AC58" s="3"/>
      <c r="AD58" s="4">
        <f t="shared" si="0"/>
        <v>0</v>
      </c>
    </row>
    <row r="59" spans="1:30" x14ac:dyDescent="0.25">
      <c r="A59" s="1">
        <v>54</v>
      </c>
      <c r="B59" s="2" t="s">
        <v>99</v>
      </c>
      <c r="C59" s="2" t="s">
        <v>100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3"/>
      <c r="AA59" s="3"/>
      <c r="AB59" s="3"/>
      <c r="AC59" s="3"/>
      <c r="AD59" s="4">
        <f t="shared" si="0"/>
        <v>0</v>
      </c>
    </row>
    <row r="60" spans="1:30" x14ac:dyDescent="0.25">
      <c r="A60" s="1">
        <v>55</v>
      </c>
      <c r="B60" s="2" t="s">
        <v>101</v>
      </c>
      <c r="C60" s="2" t="s">
        <v>102</v>
      </c>
      <c r="D60" s="1">
        <v>150</v>
      </c>
      <c r="E60" s="1">
        <v>600</v>
      </c>
      <c r="F60" s="1"/>
      <c r="G60" s="1"/>
      <c r="H60" s="1"/>
      <c r="I60" s="1">
        <v>30</v>
      </c>
      <c r="J60" s="1"/>
      <c r="K60" s="1"/>
      <c r="L60" s="1"/>
      <c r="M60" s="1"/>
      <c r="N60" s="1">
        <v>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3">
        <v>402838</v>
      </c>
      <c r="Z60" s="3"/>
      <c r="AA60" s="3">
        <v>2787</v>
      </c>
      <c r="AB60" s="3"/>
      <c r="AC60" s="3"/>
      <c r="AD60" s="4">
        <f t="shared" si="0"/>
        <v>405625</v>
      </c>
    </row>
    <row r="61" spans="1:30" x14ac:dyDescent="0.25">
      <c r="A61" s="1">
        <v>56</v>
      </c>
      <c r="B61" s="2" t="s">
        <v>103</v>
      </c>
      <c r="C61" s="2" t="s">
        <v>104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3"/>
      <c r="AA61" s="3"/>
      <c r="AB61" s="3"/>
      <c r="AC61" s="3"/>
      <c r="AD61" s="4">
        <f t="shared" si="0"/>
        <v>0</v>
      </c>
    </row>
    <row r="62" spans="1:30" x14ac:dyDescent="0.25">
      <c r="A62" s="1">
        <v>57</v>
      </c>
      <c r="B62" s="2" t="s">
        <v>201</v>
      </c>
      <c r="C62" s="2" t="s">
        <v>202</v>
      </c>
      <c r="D62" s="1">
        <f>300+60</f>
        <v>360</v>
      </c>
      <c r="E62" s="1">
        <v>425</v>
      </c>
      <c r="F62" s="1"/>
      <c r="G62" s="1"/>
      <c r="H62" s="1"/>
      <c r="I62" s="1"/>
      <c r="J62" s="1">
        <v>10</v>
      </c>
      <c r="K62" s="1"/>
      <c r="L62" s="1">
        <v>20</v>
      </c>
      <c r="M62" s="1">
        <v>10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>
        <v>371305</v>
      </c>
      <c r="Z62" s="3">
        <v>29085</v>
      </c>
      <c r="AA62" s="3"/>
      <c r="AB62" s="3"/>
      <c r="AC62" s="3"/>
      <c r="AD62" s="4">
        <f t="shared" si="0"/>
        <v>400390</v>
      </c>
    </row>
    <row r="63" spans="1:30" x14ac:dyDescent="0.25">
      <c r="A63" s="1">
        <v>58</v>
      </c>
      <c r="B63" s="2" t="s">
        <v>169</v>
      </c>
      <c r="C63" s="2" t="s">
        <v>170</v>
      </c>
      <c r="D63" s="1">
        <v>303</v>
      </c>
      <c r="E63" s="1">
        <v>520</v>
      </c>
      <c r="F63" s="1"/>
      <c r="G63" s="1"/>
      <c r="H63" s="1">
        <v>60</v>
      </c>
      <c r="I63" s="1">
        <v>50</v>
      </c>
      <c r="J63" s="1"/>
      <c r="K63" s="1"/>
      <c r="L63" s="1">
        <v>5</v>
      </c>
      <c r="M63" s="1">
        <v>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>
        <v>483912</v>
      </c>
      <c r="Z63" s="3">
        <v>7831</v>
      </c>
      <c r="AA63" s="3"/>
      <c r="AB63" s="3"/>
      <c r="AC63" s="3"/>
      <c r="AD63" s="4">
        <f t="shared" si="0"/>
        <v>491743</v>
      </c>
    </row>
    <row r="64" spans="1:30" x14ac:dyDescent="0.25">
      <c r="A64" s="1"/>
      <c r="B64" s="28" t="s">
        <v>228</v>
      </c>
      <c r="C64" s="28" t="s">
        <v>155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  <c r="AB64" s="3"/>
      <c r="AC64" s="3"/>
      <c r="AD64" s="4">
        <f t="shared" si="0"/>
        <v>0</v>
      </c>
    </row>
    <row r="65" spans="1:30" x14ac:dyDescent="0.25">
      <c r="A65" s="1">
        <v>59</v>
      </c>
      <c r="B65" s="2" t="s">
        <v>105</v>
      </c>
      <c r="C65" s="2" t="s">
        <v>106</v>
      </c>
      <c r="D65" s="1">
        <f>1222+806</f>
        <v>2028</v>
      </c>
      <c r="E65" s="1">
        <f>400+100</f>
        <v>500</v>
      </c>
      <c r="F65" s="1"/>
      <c r="G65" s="1"/>
      <c r="H65" s="1">
        <v>40</v>
      </c>
      <c r="I65" s="1"/>
      <c r="J65" s="1"/>
      <c r="K65" s="1"/>
      <c r="L65" s="1"/>
      <c r="M65" s="1"/>
      <c r="N65" s="1">
        <v>5</v>
      </c>
      <c r="O65" s="1"/>
      <c r="P65" s="1">
        <v>200</v>
      </c>
      <c r="Q65" s="1">
        <v>50</v>
      </c>
      <c r="R65" s="1">
        <v>50</v>
      </c>
      <c r="S65" s="1"/>
      <c r="T65" s="1">
        <v>300</v>
      </c>
      <c r="U65" s="1"/>
      <c r="V65" s="1"/>
      <c r="W65" s="1"/>
      <c r="X65" s="1"/>
      <c r="Y65" s="3">
        <f>914514+491099</f>
        <v>1405613</v>
      </c>
      <c r="Z65" s="3"/>
      <c r="AA65" s="3">
        <f>2786+165163</f>
        <v>167949</v>
      </c>
      <c r="AB65" s="3">
        <v>268048</v>
      </c>
      <c r="AC65" s="3"/>
      <c r="AD65" s="4">
        <f t="shared" si="0"/>
        <v>1841610</v>
      </c>
    </row>
    <row r="66" spans="1:30" x14ac:dyDescent="0.25">
      <c r="A66" s="1">
        <v>60</v>
      </c>
      <c r="B66" s="2" t="s">
        <v>107</v>
      </c>
      <c r="C66" s="2" t="s">
        <v>108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3"/>
      <c r="AA66" s="3"/>
      <c r="AB66" s="3"/>
      <c r="AC66" s="3"/>
      <c r="AD66" s="4">
        <f t="shared" si="0"/>
        <v>0</v>
      </c>
    </row>
    <row r="67" spans="1:30" x14ac:dyDescent="0.25">
      <c r="A67" s="1">
        <v>61</v>
      </c>
      <c r="B67" s="2" t="s">
        <v>109</v>
      </c>
      <c r="C67" s="2" t="s">
        <v>110</v>
      </c>
      <c r="D67" s="1">
        <f>1200</f>
        <v>1200</v>
      </c>
      <c r="E67" s="1">
        <f>100</f>
        <v>100</v>
      </c>
      <c r="F67" s="1"/>
      <c r="G67" s="1"/>
      <c r="H67" s="1"/>
      <c r="I67" s="1"/>
      <c r="J67" s="1">
        <f>25</f>
        <v>25</v>
      </c>
      <c r="K67" s="1">
        <f>15</f>
        <v>15</v>
      </c>
      <c r="L67" s="1"/>
      <c r="M67" s="1">
        <f>1</f>
        <v>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3">
        <v>363560</v>
      </c>
      <c r="Z67" s="3">
        <v>30092</v>
      </c>
      <c r="AA67" s="3"/>
      <c r="AB67" s="3"/>
      <c r="AC67" s="3"/>
      <c r="AD67" s="4">
        <f t="shared" si="0"/>
        <v>393652</v>
      </c>
    </row>
    <row r="68" spans="1:30" x14ac:dyDescent="0.25">
      <c r="A68" s="1">
        <v>62</v>
      </c>
      <c r="B68" s="2" t="s">
        <v>179</v>
      </c>
      <c r="C68" s="2" t="s">
        <v>174</v>
      </c>
      <c r="D68" s="1">
        <f>1125+300</f>
        <v>1425</v>
      </c>
      <c r="E68" s="1">
        <f>150</f>
        <v>150</v>
      </c>
      <c r="F68" s="1">
        <f>20+25</f>
        <v>45</v>
      </c>
      <c r="G68" s="1">
        <f>5</f>
        <v>5</v>
      </c>
      <c r="H68" s="1">
        <f>50</f>
        <v>50</v>
      </c>
      <c r="I68" s="1"/>
      <c r="J68" s="1">
        <f>10+13</f>
        <v>23</v>
      </c>
      <c r="K68" s="1">
        <f>5+20</f>
        <v>25</v>
      </c>
      <c r="L68" s="1">
        <f>34+10</f>
        <v>44</v>
      </c>
      <c r="M68" s="1">
        <f>15+20</f>
        <v>35</v>
      </c>
      <c r="N68" s="1">
        <v>27</v>
      </c>
      <c r="O68" s="1">
        <v>13</v>
      </c>
      <c r="P68" s="1">
        <v>50</v>
      </c>
      <c r="Q68" s="1">
        <v>100</v>
      </c>
      <c r="R68" s="1">
        <v>50</v>
      </c>
      <c r="S68" s="1"/>
      <c r="T68" s="1">
        <v>80</v>
      </c>
      <c r="U68" s="1">
        <v>62</v>
      </c>
      <c r="V68" s="1">
        <v>62</v>
      </c>
      <c r="W68" s="1">
        <v>62</v>
      </c>
      <c r="X68" s="1">
        <v>42</v>
      </c>
      <c r="Y68" s="3">
        <f>433234+96276</f>
        <v>529510</v>
      </c>
      <c r="Z68" s="3">
        <f>45901+49556</f>
        <v>95457</v>
      </c>
      <c r="AA68" s="3">
        <v>128772</v>
      </c>
      <c r="AB68" s="3">
        <v>70630</v>
      </c>
      <c r="AC68" s="3">
        <v>101858</v>
      </c>
      <c r="AD68" s="4">
        <f t="shared" si="0"/>
        <v>926227</v>
      </c>
    </row>
    <row r="69" spans="1:30" x14ac:dyDescent="0.25">
      <c r="A69" s="1">
        <v>63</v>
      </c>
      <c r="B69" s="2" t="s">
        <v>211</v>
      </c>
      <c r="C69" s="2" t="s">
        <v>212</v>
      </c>
      <c r="D69" s="1">
        <v>600</v>
      </c>
      <c r="E69" s="1">
        <v>150</v>
      </c>
      <c r="F69" s="1"/>
      <c r="G69" s="1"/>
      <c r="H69" s="1">
        <v>10</v>
      </c>
      <c r="I69" s="1"/>
      <c r="J69" s="1">
        <v>26</v>
      </c>
      <c r="K69" s="1">
        <v>26</v>
      </c>
      <c r="L69" s="1">
        <v>26</v>
      </c>
      <c r="M69" s="1">
        <v>26</v>
      </c>
      <c r="N69" s="1">
        <v>25</v>
      </c>
      <c r="O69" s="1">
        <v>25</v>
      </c>
      <c r="P69" s="1">
        <v>25</v>
      </c>
      <c r="Q69" s="1">
        <v>25</v>
      </c>
      <c r="R69" s="1">
        <v>25</v>
      </c>
      <c r="S69" s="1"/>
      <c r="T69" s="1"/>
      <c r="U69" s="1"/>
      <c r="V69" s="1"/>
      <c r="W69" s="1"/>
      <c r="X69" s="1"/>
      <c r="Y69" s="3">
        <v>235536</v>
      </c>
      <c r="Z69" s="3">
        <v>78786</v>
      </c>
      <c r="AA69" s="3">
        <v>67076</v>
      </c>
      <c r="AB69" s="3"/>
      <c r="AC69" s="3"/>
      <c r="AD69" s="4">
        <f t="shared" si="0"/>
        <v>381398</v>
      </c>
    </row>
    <row r="70" spans="1:30" x14ac:dyDescent="0.25">
      <c r="A70" s="1">
        <v>64</v>
      </c>
      <c r="B70" s="2" t="s">
        <v>214</v>
      </c>
      <c r="C70" s="2" t="s">
        <v>215</v>
      </c>
      <c r="D70" s="1">
        <v>1100</v>
      </c>
      <c r="E70" s="1">
        <v>150</v>
      </c>
      <c r="F70" s="1"/>
      <c r="G70" s="1"/>
      <c r="H70" s="1"/>
      <c r="I70" s="1"/>
      <c r="J70" s="1">
        <v>30</v>
      </c>
      <c r="K70" s="1"/>
      <c r="L70" s="1">
        <v>30</v>
      </c>
      <c r="M70" s="1">
        <v>10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>
        <v>353563</v>
      </c>
      <c r="Z70" s="3">
        <v>47648</v>
      </c>
      <c r="AA70" s="3"/>
      <c r="AB70" s="3"/>
      <c r="AC70" s="3"/>
      <c r="AD70" s="4">
        <f t="shared" si="0"/>
        <v>401211</v>
      </c>
    </row>
    <row r="71" spans="1:30" x14ac:dyDescent="0.25">
      <c r="A71" s="1">
        <v>65</v>
      </c>
      <c r="B71" s="5" t="s">
        <v>111</v>
      </c>
      <c r="C71" s="2" t="s">
        <v>112</v>
      </c>
      <c r="D71" s="1">
        <f>420+274+350</f>
        <v>1044</v>
      </c>
      <c r="E71" s="1">
        <f>70+108+120</f>
        <v>298</v>
      </c>
      <c r="F71" s="1"/>
      <c r="G71" s="1">
        <f>20</f>
        <v>20</v>
      </c>
      <c r="H71" s="1">
        <f>40</f>
        <v>40</v>
      </c>
      <c r="I71" s="1"/>
      <c r="J71" s="1"/>
      <c r="K71" s="1"/>
      <c r="L71" s="1"/>
      <c r="M71" s="1"/>
      <c r="N71" s="1">
        <v>15</v>
      </c>
      <c r="O71" s="1">
        <v>10</v>
      </c>
      <c r="P71" s="1">
        <v>15</v>
      </c>
      <c r="Q71" s="1">
        <v>10</v>
      </c>
      <c r="R71" s="1">
        <v>15</v>
      </c>
      <c r="S71" s="1"/>
      <c r="T71" s="1">
        <v>10</v>
      </c>
      <c r="U71" s="1"/>
      <c r="V71" s="1"/>
      <c r="W71" s="1"/>
      <c r="X71" s="1"/>
      <c r="Y71" s="3">
        <f>191812+123768+149023</f>
        <v>464603</v>
      </c>
      <c r="Z71" s="3"/>
      <c r="AA71" s="3">
        <v>34885</v>
      </c>
      <c r="AB71" s="3">
        <f>9019</f>
        <v>9019</v>
      </c>
      <c r="AC71" s="3"/>
      <c r="AD71" s="4">
        <f t="shared" ref="AD71:AD89" si="1">Y71+Z71+AA71+AC71+AB71</f>
        <v>508507</v>
      </c>
    </row>
    <row r="72" spans="1:30" x14ac:dyDescent="0.25">
      <c r="A72" s="1">
        <v>66</v>
      </c>
      <c r="B72" s="2" t="s">
        <v>113</v>
      </c>
      <c r="C72" s="2" t="s">
        <v>114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3"/>
      <c r="AA72" s="3"/>
      <c r="AB72" s="3"/>
      <c r="AC72" s="3"/>
      <c r="AD72" s="4">
        <f t="shared" si="1"/>
        <v>0</v>
      </c>
    </row>
    <row r="73" spans="1:30" x14ac:dyDescent="0.25">
      <c r="A73" s="1">
        <v>67</v>
      </c>
      <c r="B73" s="2" t="s">
        <v>115</v>
      </c>
      <c r="C73" s="2" t="s">
        <v>116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3"/>
      <c r="AA73" s="3"/>
      <c r="AB73" s="3"/>
      <c r="AC73" s="3"/>
      <c r="AD73" s="4">
        <f t="shared" si="1"/>
        <v>0</v>
      </c>
    </row>
    <row r="74" spans="1:30" x14ac:dyDescent="0.25">
      <c r="A74" s="1">
        <v>68</v>
      </c>
      <c r="B74" s="2" t="s">
        <v>158</v>
      </c>
      <c r="C74" s="2" t="s">
        <v>118</v>
      </c>
      <c r="D74" s="1">
        <f>268+300+300</f>
        <v>868</v>
      </c>
      <c r="E74" s="1">
        <f>120+108+170</f>
        <v>398</v>
      </c>
      <c r="F74" s="1">
        <f>20+10</f>
        <v>30</v>
      </c>
      <c r="G74" s="1">
        <f>12</f>
        <v>12</v>
      </c>
      <c r="H74" s="1">
        <f>30+30</f>
        <v>60</v>
      </c>
      <c r="I74" s="1"/>
      <c r="J74" s="1"/>
      <c r="K74" s="1"/>
      <c r="L74" s="1">
        <f>15</f>
        <v>15</v>
      </c>
      <c r="M74" s="1"/>
      <c r="N74" s="1">
        <v>10</v>
      </c>
      <c r="O74" s="1"/>
      <c r="P74" s="1">
        <v>10</v>
      </c>
      <c r="Q74" s="1">
        <v>10</v>
      </c>
      <c r="R74" s="1">
        <v>20</v>
      </c>
      <c r="S74" s="1"/>
      <c r="T74" s="1">
        <v>5</v>
      </c>
      <c r="U74" s="1">
        <v>10</v>
      </c>
      <c r="V74" s="1">
        <v>10</v>
      </c>
      <c r="W74" s="1">
        <v>10</v>
      </c>
      <c r="X74" s="1">
        <v>10</v>
      </c>
      <c r="Y74" s="3">
        <f>182207+155009+169877</f>
        <v>507093</v>
      </c>
      <c r="Z74" s="3">
        <f>9749</f>
        <v>9749</v>
      </c>
      <c r="AA74" s="3">
        <v>26839</v>
      </c>
      <c r="AB74" s="3">
        <v>4510</v>
      </c>
      <c r="AC74" s="3">
        <v>17870</v>
      </c>
      <c r="AD74" s="4">
        <f t="shared" si="1"/>
        <v>566061</v>
      </c>
    </row>
    <row r="75" spans="1:30" x14ac:dyDescent="0.25">
      <c r="A75" s="1">
        <v>69</v>
      </c>
      <c r="B75" s="2" t="s">
        <v>119</v>
      </c>
      <c r="C75" s="2" t="s">
        <v>120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3"/>
      <c r="AA75" s="3"/>
      <c r="AB75" s="3"/>
      <c r="AC75" s="3"/>
      <c r="AD75" s="4">
        <f t="shared" si="1"/>
        <v>0</v>
      </c>
    </row>
    <row r="76" spans="1:30" x14ac:dyDescent="0.25">
      <c r="A76" s="1">
        <v>70</v>
      </c>
      <c r="B76" s="2" t="s">
        <v>121</v>
      </c>
      <c r="C76" s="2" t="s">
        <v>122</v>
      </c>
      <c r="D76" s="1">
        <f>760+1020+800</f>
        <v>2580</v>
      </c>
      <c r="E76" s="1">
        <f>145+100+150</f>
        <v>395</v>
      </c>
      <c r="F76" s="1">
        <f>10+10+15</f>
        <v>35</v>
      </c>
      <c r="G76" s="1">
        <f>5</f>
        <v>5</v>
      </c>
      <c r="H76" s="1">
        <f>80+90+60</f>
        <v>230</v>
      </c>
      <c r="I76" s="1">
        <f>5</f>
        <v>5</v>
      </c>
      <c r="J76" s="1">
        <f>15</f>
        <v>15</v>
      </c>
      <c r="K76" s="1">
        <f>10+10</f>
        <v>20</v>
      </c>
      <c r="L76" s="1">
        <f>15+5</f>
        <v>20</v>
      </c>
      <c r="M76" s="1">
        <f>10+5+7</f>
        <v>22</v>
      </c>
      <c r="N76" s="1">
        <v>30</v>
      </c>
      <c r="O76" s="1">
        <v>30</v>
      </c>
      <c r="P76" s="1">
        <v>17</v>
      </c>
      <c r="Q76" s="1">
        <v>30</v>
      </c>
      <c r="R76" s="1">
        <v>30</v>
      </c>
      <c r="S76" s="1">
        <v>30</v>
      </c>
      <c r="T76" s="1"/>
      <c r="U76" s="1"/>
      <c r="V76" s="1"/>
      <c r="W76" s="1"/>
      <c r="X76" s="1"/>
      <c r="Y76" s="3">
        <f>342205+394066+339629</f>
        <v>1075900</v>
      </c>
      <c r="Z76" s="3">
        <f>36802+7576+14708</f>
        <v>59086</v>
      </c>
      <c r="AA76" s="3">
        <f>89594</f>
        <v>89594</v>
      </c>
      <c r="AB76" s="3"/>
      <c r="AC76" s="3"/>
      <c r="AD76" s="4">
        <f t="shared" si="1"/>
        <v>1224580</v>
      </c>
    </row>
    <row r="77" spans="1:30" x14ac:dyDescent="0.25">
      <c r="A77" s="1">
        <v>71</v>
      </c>
      <c r="B77" s="5" t="s">
        <v>123</v>
      </c>
      <c r="C77" s="2" t="s">
        <v>124</v>
      </c>
      <c r="D77" s="1">
        <f>575+500</f>
        <v>1075</v>
      </c>
      <c r="E77" s="1">
        <f>25+60</f>
        <v>85</v>
      </c>
      <c r="F77" s="1"/>
      <c r="G77" s="1"/>
      <c r="H77" s="1">
        <f>50+55</f>
        <v>105</v>
      </c>
      <c r="I77" s="1"/>
      <c r="J77" s="1"/>
      <c r="K77" s="1"/>
      <c r="L77" s="1"/>
      <c r="M77" s="1"/>
      <c r="N77" s="1">
        <f>5</f>
        <v>5</v>
      </c>
      <c r="O77" s="1">
        <f>5</f>
        <v>5</v>
      </c>
      <c r="P77" s="1">
        <f>5</f>
        <v>5</v>
      </c>
      <c r="Q77" s="1">
        <f>5</f>
        <v>5</v>
      </c>
      <c r="R77" s="1">
        <f>5</f>
        <v>5</v>
      </c>
      <c r="S77" s="1"/>
      <c r="T77" s="1"/>
      <c r="U77" s="1">
        <f>5</f>
        <v>5</v>
      </c>
      <c r="V77" s="1">
        <f>5</f>
        <v>5</v>
      </c>
      <c r="W77" s="1">
        <f>5</f>
        <v>5</v>
      </c>
      <c r="X77" s="1">
        <f>5</f>
        <v>5</v>
      </c>
      <c r="Y77" s="3">
        <f>205144+201814</f>
        <v>406958</v>
      </c>
      <c r="Z77" s="3"/>
      <c r="AA77" s="3">
        <v>13415</v>
      </c>
      <c r="AB77" s="3"/>
      <c r="AC77" s="3">
        <v>9289</v>
      </c>
      <c r="AD77" s="4">
        <f t="shared" si="1"/>
        <v>429662</v>
      </c>
    </row>
    <row r="78" spans="1:30" x14ac:dyDescent="0.25">
      <c r="A78" s="1">
        <v>72</v>
      </c>
      <c r="B78" s="5" t="s">
        <v>125</v>
      </c>
      <c r="C78" s="2" t="s">
        <v>126</v>
      </c>
      <c r="D78" s="1">
        <f>250</f>
        <v>250</v>
      </c>
      <c r="E78" s="1">
        <f>180</f>
        <v>180</v>
      </c>
      <c r="F78" s="1"/>
      <c r="G78" s="1"/>
      <c r="H78" s="1">
        <f>34</f>
        <v>34</v>
      </c>
      <c r="I78" s="1"/>
      <c r="J78" s="1">
        <f>2</f>
        <v>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>
        <f>187540</f>
        <v>187540</v>
      </c>
      <c r="Z78" s="3">
        <f>1300</f>
        <v>1300</v>
      </c>
      <c r="AA78" s="3"/>
      <c r="AB78" s="3"/>
      <c r="AC78" s="3"/>
      <c r="AD78" s="4">
        <f t="shared" si="1"/>
        <v>188840</v>
      </c>
    </row>
    <row r="79" spans="1:30" x14ac:dyDescent="0.25">
      <c r="A79" s="1">
        <v>73</v>
      </c>
      <c r="B79" s="2" t="s">
        <v>127</v>
      </c>
      <c r="C79" s="2" t="s">
        <v>128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3"/>
      <c r="AA79" s="3"/>
      <c r="AB79" s="3"/>
      <c r="AC79" s="3"/>
      <c r="AD79" s="4">
        <f t="shared" si="1"/>
        <v>0</v>
      </c>
    </row>
    <row r="80" spans="1:30" x14ac:dyDescent="0.25">
      <c r="A80" s="1">
        <v>74</v>
      </c>
      <c r="B80" s="5" t="s">
        <v>131</v>
      </c>
      <c r="C80" s="5" t="s">
        <v>132</v>
      </c>
      <c r="D80" s="1">
        <v>100</v>
      </c>
      <c r="E80" s="1"/>
      <c r="F80" s="1"/>
      <c r="G80" s="1"/>
      <c r="H80" s="1">
        <v>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">
        <v>24236</v>
      </c>
      <c r="Z80" s="3"/>
      <c r="AA80" s="3"/>
      <c r="AB80" s="3"/>
      <c r="AC80" s="3"/>
      <c r="AD80" s="4">
        <f t="shared" si="1"/>
        <v>24236</v>
      </c>
    </row>
    <row r="81" spans="1:30" x14ac:dyDescent="0.25">
      <c r="A81" s="1">
        <v>75</v>
      </c>
      <c r="B81" s="2" t="s">
        <v>133</v>
      </c>
      <c r="C81" s="2" t="s">
        <v>132</v>
      </c>
      <c r="D81" s="1">
        <f>275+240</f>
        <v>515</v>
      </c>
      <c r="E81" s="1"/>
      <c r="F81" s="1"/>
      <c r="G81" s="1"/>
      <c r="H81" s="1">
        <v>10</v>
      </c>
      <c r="I81" s="1"/>
      <c r="J81" s="1">
        <v>3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>
        <f>46293+48626</f>
        <v>94919</v>
      </c>
      <c r="Z81" s="3">
        <v>2013</v>
      </c>
      <c r="AA81" s="3"/>
      <c r="AB81" s="3"/>
      <c r="AC81" s="3"/>
      <c r="AD81" s="4">
        <f t="shared" si="1"/>
        <v>96932</v>
      </c>
    </row>
    <row r="82" spans="1:30" x14ac:dyDescent="0.25">
      <c r="A82" s="1">
        <v>76</v>
      </c>
      <c r="B82" s="9" t="s">
        <v>134</v>
      </c>
      <c r="C82" s="2" t="s">
        <v>135</v>
      </c>
      <c r="D82" s="1">
        <v>200</v>
      </c>
      <c r="E82" s="1">
        <v>150</v>
      </c>
      <c r="F82" s="1"/>
      <c r="G82" s="1">
        <v>50</v>
      </c>
      <c r="H82" s="1">
        <v>30</v>
      </c>
      <c r="I82" s="1"/>
      <c r="J82" s="1">
        <v>20</v>
      </c>
      <c r="K82" s="1"/>
      <c r="L82" s="1">
        <v>20</v>
      </c>
      <c r="M82" s="1"/>
      <c r="N82" s="1">
        <v>25</v>
      </c>
      <c r="O82" s="1">
        <v>15</v>
      </c>
      <c r="P82" s="1">
        <v>25</v>
      </c>
      <c r="Q82" s="1">
        <v>15</v>
      </c>
      <c r="R82" s="1">
        <v>25</v>
      </c>
      <c r="S82" s="1">
        <v>15</v>
      </c>
      <c r="T82" s="1"/>
      <c r="U82" s="1"/>
      <c r="V82" s="1"/>
      <c r="W82" s="1"/>
      <c r="X82" s="1"/>
      <c r="Y82" s="3">
        <v>180065</v>
      </c>
      <c r="Z82" s="3">
        <v>25998</v>
      </c>
      <c r="AA82" s="3">
        <v>64396</v>
      </c>
      <c r="AB82" s="3"/>
      <c r="AC82" s="3"/>
      <c r="AD82" s="4">
        <f t="shared" si="1"/>
        <v>270459</v>
      </c>
    </row>
    <row r="83" spans="1:30" x14ac:dyDescent="0.25">
      <c r="A83" s="1">
        <v>77</v>
      </c>
      <c r="B83" s="9" t="s">
        <v>138</v>
      </c>
      <c r="C83" s="2" t="s">
        <v>139</v>
      </c>
      <c r="D83" s="1">
        <v>350</v>
      </c>
      <c r="E83" s="1"/>
      <c r="F83" s="1"/>
      <c r="G83" s="1"/>
      <c r="H83" s="1"/>
      <c r="I83" s="1"/>
      <c r="J83" s="1">
        <v>20</v>
      </c>
      <c r="K83" s="1"/>
      <c r="L83" s="1">
        <v>20</v>
      </c>
      <c r="M83" s="1"/>
      <c r="N83" s="1">
        <v>40</v>
      </c>
      <c r="O83" s="1">
        <v>10</v>
      </c>
      <c r="P83" s="1">
        <v>40</v>
      </c>
      <c r="Q83" s="1">
        <v>10</v>
      </c>
      <c r="R83" s="1">
        <v>40</v>
      </c>
      <c r="S83" s="1"/>
      <c r="T83" s="1"/>
      <c r="U83" s="1">
        <v>5</v>
      </c>
      <c r="V83" s="1">
        <v>5</v>
      </c>
      <c r="W83" s="1">
        <v>5</v>
      </c>
      <c r="X83" s="1">
        <v>5</v>
      </c>
      <c r="Y83" s="3">
        <v>88376</v>
      </c>
      <c r="Z83" s="3">
        <v>25998</v>
      </c>
      <c r="AA83" s="3">
        <v>75156</v>
      </c>
      <c r="AB83" s="3"/>
      <c r="AC83" s="3">
        <v>9289</v>
      </c>
      <c r="AD83" s="4">
        <f t="shared" si="1"/>
        <v>198819</v>
      </c>
    </row>
    <row r="84" spans="1:30" x14ac:dyDescent="0.25">
      <c r="A84" s="1">
        <v>78</v>
      </c>
      <c r="B84" s="9" t="s">
        <v>234</v>
      </c>
      <c r="C84" s="2" t="s">
        <v>235</v>
      </c>
      <c r="D84" s="1">
        <f>105</f>
        <v>105</v>
      </c>
      <c r="E84" s="1">
        <f>60</f>
        <v>60</v>
      </c>
      <c r="F84" s="1">
        <f>5+10</f>
        <v>15</v>
      </c>
      <c r="G84" s="1"/>
      <c r="H84" s="1">
        <f>30</f>
        <v>30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>
        <f>88462+8656</f>
        <v>97118</v>
      </c>
      <c r="Z84" s="3"/>
      <c r="AA84" s="3"/>
      <c r="AB84" s="3"/>
      <c r="AC84" s="3"/>
      <c r="AD84" s="4">
        <f t="shared" si="1"/>
        <v>97118</v>
      </c>
    </row>
    <row r="85" spans="1:30" x14ac:dyDescent="0.25">
      <c r="A85" s="1">
        <v>79</v>
      </c>
      <c r="B85" s="9" t="s">
        <v>246</v>
      </c>
      <c r="C85" s="2" t="s">
        <v>247</v>
      </c>
      <c r="D85" s="1">
        <v>400</v>
      </c>
      <c r="E85" s="1">
        <v>150</v>
      </c>
      <c r="F85" s="1">
        <v>10</v>
      </c>
      <c r="G85" s="1"/>
      <c r="H85" s="1">
        <v>60</v>
      </c>
      <c r="I85" s="1"/>
      <c r="J85" s="1">
        <v>5</v>
      </c>
      <c r="K85" s="1">
        <v>5</v>
      </c>
      <c r="L85" s="1">
        <v>5</v>
      </c>
      <c r="M85" s="1">
        <v>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>
        <v>234472</v>
      </c>
      <c r="Z85" s="3">
        <v>15151</v>
      </c>
      <c r="AA85" s="3"/>
      <c r="AB85" s="3"/>
      <c r="AC85" s="3"/>
      <c r="AD85" s="4">
        <f t="shared" si="1"/>
        <v>249623</v>
      </c>
    </row>
    <row r="86" spans="1:30" x14ac:dyDescent="0.25">
      <c r="A86" s="1">
        <v>80</v>
      </c>
      <c r="B86" s="9" t="s">
        <v>142</v>
      </c>
      <c r="C86" s="2" t="s">
        <v>143</v>
      </c>
      <c r="D86" s="1">
        <v>80</v>
      </c>
      <c r="E86" s="1">
        <v>10</v>
      </c>
      <c r="F86" s="1">
        <v>5</v>
      </c>
      <c r="G86" s="1"/>
      <c r="H86" s="1">
        <v>5</v>
      </c>
      <c r="I86" s="1"/>
      <c r="J86" s="1">
        <v>2</v>
      </c>
      <c r="K86" s="1">
        <v>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>
        <v>35583</v>
      </c>
      <c r="Z86" s="3">
        <v>3178</v>
      </c>
      <c r="AA86" s="3"/>
      <c r="AB86" s="3"/>
      <c r="AC86" s="3"/>
      <c r="AD86" s="4">
        <f t="shared" si="1"/>
        <v>38761</v>
      </c>
    </row>
    <row r="87" spans="1:30" x14ac:dyDescent="0.25">
      <c r="A87" s="1">
        <v>81</v>
      </c>
      <c r="B87" s="5" t="s">
        <v>146</v>
      </c>
      <c r="C87" s="2" t="s">
        <v>147</v>
      </c>
      <c r="D87" s="1">
        <f>50+40</f>
        <v>90</v>
      </c>
      <c r="E87" s="1">
        <f>15+15</f>
        <v>30</v>
      </c>
      <c r="F87" s="1">
        <f>4</f>
        <v>4</v>
      </c>
      <c r="G87" s="1"/>
      <c r="H87" s="1">
        <f>10+12</f>
        <v>22</v>
      </c>
      <c r="I87" s="1"/>
      <c r="J87" s="1">
        <f>3+5</f>
        <v>8</v>
      </c>
      <c r="K87" s="1">
        <f>3</f>
        <v>3</v>
      </c>
      <c r="L87" s="1">
        <f>3+5</f>
        <v>8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">
        <f>31097+32859</f>
        <v>63956</v>
      </c>
      <c r="Z87" s="3">
        <f>6882+6882</f>
        <v>13764</v>
      </c>
      <c r="AA87" s="3"/>
      <c r="AB87" s="3"/>
      <c r="AC87" s="3"/>
      <c r="AD87" s="4">
        <f t="shared" si="1"/>
        <v>77720</v>
      </c>
    </row>
    <row r="88" spans="1:30" x14ac:dyDescent="0.25">
      <c r="A88" s="1">
        <v>82</v>
      </c>
      <c r="B88" s="5" t="s">
        <v>148</v>
      </c>
      <c r="C88" s="2" t="s">
        <v>149</v>
      </c>
      <c r="D88" s="1">
        <f>150+155</f>
        <v>305</v>
      </c>
      <c r="E88" s="1"/>
      <c r="F88" s="1"/>
      <c r="G88" s="1">
        <v>3</v>
      </c>
      <c r="H88" s="1">
        <f>10+10</f>
        <v>20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>
        <f>48980+52193</f>
        <v>101173</v>
      </c>
      <c r="Z88" s="3"/>
      <c r="AA88" s="3"/>
      <c r="AB88" s="3"/>
      <c r="AC88" s="3"/>
      <c r="AD88" s="4">
        <f t="shared" si="1"/>
        <v>101173</v>
      </c>
    </row>
    <row r="89" spans="1:30" ht="15.75" thickBot="1" x14ac:dyDescent="0.3">
      <c r="A89" s="1">
        <v>83</v>
      </c>
      <c r="B89" s="10" t="s">
        <v>223</v>
      </c>
      <c r="C89" s="11" t="s">
        <v>224</v>
      </c>
      <c r="D89" s="12"/>
      <c r="E89" s="12">
        <v>20</v>
      </c>
      <c r="F89" s="12"/>
      <c r="G89" s="12"/>
      <c r="H89" s="12"/>
      <c r="I89" s="12"/>
      <c r="J89" s="12">
        <v>7</v>
      </c>
      <c r="K89" s="12"/>
      <c r="L89" s="12">
        <v>7</v>
      </c>
      <c r="M89" s="12"/>
      <c r="N89" s="12">
        <v>4</v>
      </c>
      <c r="O89" s="12">
        <v>2</v>
      </c>
      <c r="P89" s="12">
        <v>4</v>
      </c>
      <c r="Q89" s="12">
        <v>2</v>
      </c>
      <c r="R89" s="12">
        <v>3</v>
      </c>
      <c r="S89" s="12"/>
      <c r="T89" s="12"/>
      <c r="U89" s="12">
        <v>3</v>
      </c>
      <c r="V89" s="12">
        <v>3</v>
      </c>
      <c r="W89" s="12">
        <v>3</v>
      </c>
      <c r="X89" s="12">
        <v>3</v>
      </c>
      <c r="Y89" s="13">
        <v>11007</v>
      </c>
      <c r="Z89" s="13">
        <v>9396</v>
      </c>
      <c r="AA89" s="13">
        <v>8051</v>
      </c>
      <c r="AB89" s="13"/>
      <c r="AC89" s="13">
        <v>5574</v>
      </c>
      <c r="AD89" s="4">
        <f t="shared" si="1"/>
        <v>34028</v>
      </c>
    </row>
    <row r="90" spans="1:30" ht="15.75" thickBot="1" x14ac:dyDescent="0.3">
      <c r="A90" s="39" t="s">
        <v>150</v>
      </c>
      <c r="B90" s="40"/>
      <c r="C90" s="24"/>
      <c r="D90" s="25">
        <f t="shared" ref="D90:AD90" si="2">SUM(D5:D89)</f>
        <v>67602</v>
      </c>
      <c r="E90" s="25">
        <f t="shared" si="2"/>
        <v>17582</v>
      </c>
      <c r="F90" s="25">
        <f t="shared" si="2"/>
        <v>881</v>
      </c>
      <c r="G90" s="25">
        <f t="shared" si="2"/>
        <v>271</v>
      </c>
      <c r="H90" s="25">
        <f t="shared" si="2"/>
        <v>4199</v>
      </c>
      <c r="I90" s="25">
        <f t="shared" si="2"/>
        <v>85</v>
      </c>
      <c r="J90" s="25">
        <f t="shared" si="2"/>
        <v>469</v>
      </c>
      <c r="K90" s="25">
        <f t="shared" si="2"/>
        <v>254</v>
      </c>
      <c r="L90" s="25">
        <f t="shared" si="2"/>
        <v>456</v>
      </c>
      <c r="M90" s="25">
        <f t="shared" si="2"/>
        <v>277</v>
      </c>
      <c r="N90" s="25">
        <f t="shared" si="2"/>
        <v>643</v>
      </c>
      <c r="O90" s="25">
        <f t="shared" si="2"/>
        <v>565</v>
      </c>
      <c r="P90" s="25">
        <f t="shared" si="2"/>
        <v>831</v>
      </c>
      <c r="Q90" s="25">
        <f t="shared" si="2"/>
        <v>772</v>
      </c>
      <c r="R90" s="25">
        <f t="shared" si="2"/>
        <v>628</v>
      </c>
      <c r="S90" s="25">
        <f t="shared" si="2"/>
        <v>168</v>
      </c>
      <c r="T90" s="25">
        <f t="shared" si="2"/>
        <v>645</v>
      </c>
      <c r="U90" s="25">
        <f t="shared" si="2"/>
        <v>105</v>
      </c>
      <c r="V90" s="25">
        <f t="shared" si="2"/>
        <v>105</v>
      </c>
      <c r="W90" s="25">
        <f t="shared" si="2"/>
        <v>105</v>
      </c>
      <c r="X90" s="25">
        <f t="shared" si="2"/>
        <v>75</v>
      </c>
      <c r="Y90" s="26">
        <f t="shared" si="2"/>
        <v>32059736</v>
      </c>
      <c r="Z90" s="26">
        <f t="shared" si="2"/>
        <v>1073793</v>
      </c>
      <c r="AA90" s="26">
        <f t="shared" si="2"/>
        <v>1940738</v>
      </c>
      <c r="AB90" s="26">
        <f t="shared" si="2"/>
        <v>577415</v>
      </c>
      <c r="AC90" s="26">
        <f t="shared" si="2"/>
        <v>175152</v>
      </c>
      <c r="AD90" s="26">
        <f t="shared" si="2"/>
        <v>35826834</v>
      </c>
    </row>
  </sheetData>
  <mergeCells count="3">
    <mergeCell ref="A1:AD1"/>
    <mergeCell ref="A2:AD2"/>
    <mergeCell ref="A90:B90"/>
  </mergeCells>
  <phoneticPr fontId="8" type="noConversion"/>
  <pageMargins left="0.16" right="0.11811023622047245" top="0.15748031496062992" bottom="0.15748031496062992" header="0.15748031496062992" footer="0.15748031496062992"/>
  <pageSetup paperSize="9" scale="8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C9BC-9113-4BBF-AB3A-3B037F26C68D}">
  <dimension ref="A1:AF94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R14" sqref="R14"/>
    </sheetView>
  </sheetViews>
  <sheetFormatPr defaultRowHeight="15" x14ac:dyDescent="0.25"/>
  <cols>
    <col min="1" max="1" width="6.42578125" bestFit="1" customWidth="1"/>
    <col min="2" max="2" width="28.85546875" customWidth="1"/>
    <col min="3" max="3" width="14.28515625" customWidth="1"/>
    <col min="4" max="4" width="10.42578125" customWidth="1"/>
    <col min="5" max="5" width="7.7109375" style="14" customWidth="1"/>
    <col min="6" max="9" width="7.85546875" style="14" customWidth="1"/>
    <col min="10" max="10" width="7.42578125" style="14" customWidth="1"/>
    <col min="11" max="12" width="7.85546875" style="14" customWidth="1"/>
    <col min="13" max="14" width="7.5703125" style="14" customWidth="1"/>
    <col min="15" max="15" width="10" style="14" customWidth="1"/>
    <col min="16" max="16" width="10.140625" style="14" customWidth="1"/>
    <col min="17" max="18" width="8.42578125" style="14" customWidth="1"/>
    <col min="19" max="19" width="9.7109375" style="14" customWidth="1"/>
    <col min="20" max="21" width="8.42578125" style="14" customWidth="1"/>
    <col min="22" max="22" width="8.140625" style="14" customWidth="1"/>
    <col min="23" max="23" width="8.28515625" style="14" customWidth="1"/>
    <col min="24" max="24" width="8.7109375" style="14" customWidth="1"/>
    <col min="25" max="25" width="9" style="14" customWidth="1"/>
    <col min="26" max="26" width="9.28515625" style="14" customWidth="1"/>
    <col min="27" max="27" width="14.140625" style="14" customWidth="1"/>
    <col min="28" max="28" width="12.5703125" style="14" customWidth="1"/>
    <col min="29" max="29" width="14.140625" style="14" customWidth="1"/>
    <col min="30" max="30" width="12.5703125" style="14" customWidth="1"/>
    <col min="31" max="31" width="11.42578125" style="14" customWidth="1"/>
    <col min="32" max="32" width="14.140625" bestFit="1" customWidth="1"/>
  </cols>
  <sheetData>
    <row r="1" spans="1:32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32" ht="19.5" thickBot="1" x14ac:dyDescent="0.35">
      <c r="A2" s="38" t="s">
        <v>261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2" ht="70.5" customHeight="1" thickBot="1" x14ac:dyDescent="0.3">
      <c r="A3" s="15" t="s">
        <v>1</v>
      </c>
      <c r="B3" s="16" t="s">
        <v>2</v>
      </c>
      <c r="C3" s="16" t="s">
        <v>3</v>
      </c>
      <c r="D3" s="16" t="s">
        <v>263</v>
      </c>
      <c r="E3" s="17" t="s">
        <v>4</v>
      </c>
      <c r="F3" s="17" t="s">
        <v>5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12</v>
      </c>
      <c r="L3" s="17" t="s">
        <v>13</v>
      </c>
      <c r="M3" s="17" t="s">
        <v>14</v>
      </c>
      <c r="N3" s="17" t="s">
        <v>15</v>
      </c>
      <c r="O3" s="17" t="s">
        <v>240</v>
      </c>
      <c r="P3" s="17" t="s">
        <v>239</v>
      </c>
      <c r="Q3" s="17" t="s">
        <v>241</v>
      </c>
      <c r="R3" s="17" t="s">
        <v>242</v>
      </c>
      <c r="S3" s="17" t="s">
        <v>243</v>
      </c>
      <c r="T3" s="17" t="s">
        <v>250</v>
      </c>
      <c r="U3" s="17" t="s">
        <v>278</v>
      </c>
      <c r="V3" s="17" t="s">
        <v>257</v>
      </c>
      <c r="W3" s="17" t="s">
        <v>252</v>
      </c>
      <c r="X3" s="17" t="s">
        <v>253</v>
      </c>
      <c r="Y3" s="17" t="s">
        <v>254</v>
      </c>
      <c r="Z3" s="17" t="s">
        <v>255</v>
      </c>
      <c r="AA3" s="17" t="s">
        <v>25</v>
      </c>
      <c r="AB3" s="18" t="s">
        <v>26</v>
      </c>
      <c r="AC3" s="18" t="s">
        <v>238</v>
      </c>
      <c r="AD3" s="18" t="s">
        <v>258</v>
      </c>
      <c r="AE3" s="18" t="s">
        <v>256</v>
      </c>
      <c r="AF3" s="19" t="s">
        <v>28</v>
      </c>
    </row>
    <row r="4" spans="1:32" ht="15.75" thickBot="1" x14ac:dyDescent="0.3">
      <c r="A4" s="20"/>
      <c r="B4" s="21"/>
      <c r="C4" s="21"/>
      <c r="D4" s="21"/>
      <c r="E4" s="22" t="s">
        <v>29</v>
      </c>
      <c r="F4" s="22" t="s">
        <v>30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22" t="s">
        <v>29</v>
      </c>
      <c r="M4" s="22" t="s">
        <v>36</v>
      </c>
      <c r="N4" s="22" t="s">
        <v>29</v>
      </c>
      <c r="O4" s="22" t="s">
        <v>36</v>
      </c>
      <c r="P4" s="22" t="s">
        <v>29</v>
      </c>
      <c r="Q4" s="22" t="s">
        <v>36</v>
      </c>
      <c r="R4" s="22" t="s">
        <v>29</v>
      </c>
      <c r="S4" s="22" t="s">
        <v>36</v>
      </c>
      <c r="T4" s="22" t="s">
        <v>29</v>
      </c>
      <c r="U4" s="22" t="s">
        <v>36</v>
      </c>
      <c r="V4" s="22" t="s">
        <v>30</v>
      </c>
      <c r="W4" s="22" t="s">
        <v>29</v>
      </c>
      <c r="X4" s="22" t="s">
        <v>29</v>
      </c>
      <c r="Y4" s="22" t="s">
        <v>29</v>
      </c>
      <c r="Z4" s="22" t="s">
        <v>29</v>
      </c>
      <c r="AA4" s="22"/>
      <c r="AB4" s="22"/>
      <c r="AC4" s="22"/>
      <c r="AD4" s="22"/>
      <c r="AE4" s="22"/>
      <c r="AF4" s="23"/>
    </row>
    <row r="5" spans="1:32" x14ac:dyDescent="0.25">
      <c r="A5" s="1">
        <v>1</v>
      </c>
      <c r="B5" s="2" t="s">
        <v>39</v>
      </c>
      <c r="C5" s="2" t="s">
        <v>40</v>
      </c>
      <c r="D5" s="2" t="s">
        <v>40</v>
      </c>
      <c r="E5" s="1">
        <f>1000+804+1200+700+700</f>
        <v>4404</v>
      </c>
      <c r="F5" s="1">
        <f>200+132+170+150+250</f>
        <v>902</v>
      </c>
      <c r="G5" s="1">
        <f>10+10</f>
        <v>20</v>
      </c>
      <c r="H5" s="1"/>
      <c r="I5" s="1">
        <f>20+58+40+60</f>
        <v>178</v>
      </c>
      <c r="J5" s="1"/>
      <c r="K5" s="1">
        <f>8+20+15</f>
        <v>43</v>
      </c>
      <c r="L5" s="1">
        <f>10+10+10</f>
        <v>30</v>
      </c>
      <c r="M5" s="1">
        <f>10+17+15</f>
        <v>42</v>
      </c>
      <c r="N5" s="1">
        <f>10+10</f>
        <v>20</v>
      </c>
      <c r="O5" s="1">
        <f>40+10+50+100</f>
        <v>200</v>
      </c>
      <c r="P5" s="1">
        <f>80+10+30+100</f>
        <v>220</v>
      </c>
      <c r="Q5" s="1">
        <f>20+50+100</f>
        <v>170</v>
      </c>
      <c r="R5" s="1">
        <f>20+30+100</f>
        <v>150</v>
      </c>
      <c r="S5" s="1">
        <f>20+50+100</f>
        <v>170</v>
      </c>
      <c r="T5" s="1">
        <f>50+20+30+100</f>
        <v>200</v>
      </c>
      <c r="U5" s="1"/>
      <c r="V5" s="1">
        <f>50+24+50</f>
        <v>124</v>
      </c>
      <c r="W5" s="1"/>
      <c r="X5" s="1"/>
      <c r="Y5" s="1"/>
      <c r="Z5" s="1"/>
      <c r="AA5" s="3">
        <f>378343+317431+421822+252561+360762</f>
        <v>1730919</v>
      </c>
      <c r="AB5" s="3">
        <f>29003+17304+24048+28150</f>
        <v>98505</v>
      </c>
      <c r="AC5" s="3">
        <f>91170+53652+128791+321913</f>
        <v>595526</v>
      </c>
      <c r="AD5" s="3">
        <f>45099+22072+45100</f>
        <v>112271</v>
      </c>
      <c r="AE5" s="3"/>
      <c r="AF5" s="4">
        <f>AA5+AB5+AC5+AE5+AD5</f>
        <v>2537221</v>
      </c>
    </row>
    <row r="6" spans="1:32" x14ac:dyDescent="0.25">
      <c r="A6" s="1">
        <v>2</v>
      </c>
      <c r="B6" s="2" t="s">
        <v>41</v>
      </c>
      <c r="C6" s="2" t="s">
        <v>42</v>
      </c>
      <c r="D6" s="2" t="s">
        <v>264</v>
      </c>
      <c r="E6" s="1">
        <f>200+700+780+700+800+800+1000+800+750+700</f>
        <v>7230</v>
      </c>
      <c r="F6" s="1">
        <f>180+150+150+200+75+300+150+250+150</f>
        <v>1605</v>
      </c>
      <c r="G6" s="1"/>
      <c r="H6" s="1"/>
      <c r="I6" s="1">
        <f>175+100+70+150+25+25+25+50+50+50</f>
        <v>720</v>
      </c>
      <c r="J6" s="1"/>
      <c r="K6" s="1">
        <f>5</f>
        <v>5</v>
      </c>
      <c r="L6" s="1">
        <f>5</f>
        <v>5</v>
      </c>
      <c r="M6" s="1">
        <f>5</f>
        <v>5</v>
      </c>
      <c r="N6" s="1">
        <f>5</f>
        <v>5</v>
      </c>
      <c r="O6" s="1">
        <f>40+15+15+40+10+10+30+10</f>
        <v>170</v>
      </c>
      <c r="P6" s="1">
        <f>80+20+20+15+20+10+50</f>
        <v>215</v>
      </c>
      <c r="Q6" s="1">
        <f>40+15+15+10+10+5+30+10</f>
        <v>135</v>
      </c>
      <c r="R6" s="1">
        <f>80+20+20+5+20+5+50+15</f>
        <v>215</v>
      </c>
      <c r="S6" s="1">
        <f>30+5+5+15+5+5</f>
        <v>65</v>
      </c>
      <c r="T6" s="1">
        <f>80+20+20+15+20+15+50+10</f>
        <v>230</v>
      </c>
      <c r="U6" s="1"/>
      <c r="V6" s="1">
        <f>5+15+5+15+5</f>
        <v>45</v>
      </c>
      <c r="W6" s="1"/>
      <c r="X6" s="1"/>
      <c r="Y6" s="1"/>
      <c r="Z6" s="1"/>
      <c r="AA6" s="3">
        <f>285413+334814+330338+401209+260471+353619+273067+298374+41126+356851+293687</f>
        <v>3228969</v>
      </c>
      <c r="AB6" s="3">
        <v>15152</v>
      </c>
      <c r="AC6" s="3">
        <f>187727+50959+50959+53665+42905+26822+112632+26826</f>
        <v>552495</v>
      </c>
      <c r="AD6" s="3">
        <f>4598+13795+4598+13795+4598</f>
        <v>41384</v>
      </c>
      <c r="AE6" s="3"/>
      <c r="AF6" s="4">
        <f t="shared" ref="AF6:AF74" si="0">AA6+AB6+AC6+AE6+AD6</f>
        <v>3838000</v>
      </c>
    </row>
    <row r="7" spans="1:32" x14ac:dyDescent="0.25">
      <c r="A7" s="1">
        <v>3</v>
      </c>
      <c r="B7" s="5" t="s">
        <v>43</v>
      </c>
      <c r="C7" s="2" t="s">
        <v>44</v>
      </c>
      <c r="D7" s="2" t="s">
        <v>264</v>
      </c>
      <c r="E7" s="1">
        <f>1200+500</f>
        <v>1700</v>
      </c>
      <c r="F7" s="1">
        <f>200</f>
        <v>200</v>
      </c>
      <c r="G7" s="1"/>
      <c r="H7" s="1"/>
      <c r="I7" s="1">
        <f>100</f>
        <v>100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f>35</f>
        <v>35</v>
      </c>
      <c r="W7" s="1"/>
      <c r="X7" s="1"/>
      <c r="Y7" s="1"/>
      <c r="Z7" s="1"/>
      <c r="AA7" s="3">
        <f>303005+309582</f>
        <v>612587</v>
      </c>
      <c r="AB7" s="3"/>
      <c r="AC7" s="3"/>
      <c r="AD7" s="3">
        <f>32189</f>
        <v>32189</v>
      </c>
      <c r="AE7" s="3"/>
      <c r="AF7" s="4">
        <f t="shared" si="0"/>
        <v>644776</v>
      </c>
    </row>
    <row r="8" spans="1:32" x14ac:dyDescent="0.25">
      <c r="A8" s="1">
        <v>4</v>
      </c>
      <c r="B8" s="2" t="s">
        <v>45</v>
      </c>
      <c r="C8" s="2" t="s">
        <v>46</v>
      </c>
      <c r="D8" s="2" t="s">
        <v>264</v>
      </c>
      <c r="E8" s="1">
        <f>300+100</f>
        <v>400</v>
      </c>
      <c r="F8" s="1">
        <f>100+100</f>
        <v>200</v>
      </c>
      <c r="G8" s="1"/>
      <c r="H8" s="1">
        <f>35+35</f>
        <v>70</v>
      </c>
      <c r="I8" s="1">
        <f>100+40</f>
        <v>140</v>
      </c>
      <c r="J8" s="1"/>
      <c r="K8" s="1"/>
      <c r="L8" s="1"/>
      <c r="M8" s="1"/>
      <c r="N8" s="1"/>
      <c r="O8" s="1">
        <f>20+40</f>
        <v>60</v>
      </c>
      <c r="P8" s="1">
        <f>20+40</f>
        <v>60</v>
      </c>
      <c r="Q8" s="1">
        <f>20+50</f>
        <v>70</v>
      </c>
      <c r="R8" s="1">
        <f>25+50</f>
        <v>75</v>
      </c>
      <c r="S8" s="1">
        <f>20+40</f>
        <v>60</v>
      </c>
      <c r="T8" s="1">
        <f>25+45</f>
        <v>70</v>
      </c>
      <c r="U8" s="1"/>
      <c r="V8" s="1"/>
      <c r="W8" s="1">
        <f>7+10</f>
        <v>17</v>
      </c>
      <c r="X8" s="1">
        <f>7+10</f>
        <v>17</v>
      </c>
      <c r="Y8" s="1">
        <f>7+10</f>
        <v>17</v>
      </c>
      <c r="Z8" s="1">
        <f>7+10</f>
        <v>17</v>
      </c>
      <c r="AA8" s="3">
        <f>228899+129047</f>
        <v>357946</v>
      </c>
      <c r="AB8" s="3"/>
      <c r="AC8" s="3">
        <f>69744+142176</f>
        <v>211920</v>
      </c>
      <c r="AD8" s="3"/>
      <c r="AE8" s="3">
        <f>12509+17870</f>
        <v>30379</v>
      </c>
      <c r="AF8" s="4">
        <f t="shared" si="0"/>
        <v>600245</v>
      </c>
    </row>
    <row r="9" spans="1:32" x14ac:dyDescent="0.25">
      <c r="A9" s="1">
        <v>5</v>
      </c>
      <c r="B9" s="2" t="s">
        <v>47</v>
      </c>
      <c r="C9" s="2" t="s">
        <v>48</v>
      </c>
      <c r="D9" s="2" t="s">
        <v>264</v>
      </c>
      <c r="E9" s="1">
        <f>235+400</f>
        <v>635</v>
      </c>
      <c r="F9" s="1">
        <f>100+60</f>
        <v>160</v>
      </c>
      <c r="G9" s="1"/>
      <c r="H9" s="1"/>
      <c r="I9" s="1">
        <f>100+140</f>
        <v>240</v>
      </c>
      <c r="J9" s="1"/>
      <c r="K9" s="1"/>
      <c r="L9" s="1"/>
      <c r="M9" s="1"/>
      <c r="N9" s="1"/>
      <c r="O9" s="1">
        <f>40</f>
        <v>40</v>
      </c>
      <c r="P9" s="1">
        <f>20+45</f>
        <v>65</v>
      </c>
      <c r="Q9" s="1">
        <f>40</f>
        <v>40</v>
      </c>
      <c r="R9" s="1">
        <f>20+45</f>
        <v>65</v>
      </c>
      <c r="S9" s="1"/>
      <c r="T9" s="1">
        <f>20+45</f>
        <v>65</v>
      </c>
      <c r="U9" s="1"/>
      <c r="V9" s="1">
        <f>30</f>
        <v>30</v>
      </c>
      <c r="W9" s="1"/>
      <c r="X9" s="1"/>
      <c r="Y9" s="1"/>
      <c r="Z9" s="1"/>
      <c r="AA9" s="3">
        <f>192129+246479</f>
        <v>438608</v>
      </c>
      <c r="AB9" s="3"/>
      <c r="AC9" s="3">
        <f>75122+72373</f>
        <v>147495</v>
      </c>
      <c r="AD9" s="3">
        <f>27591</f>
        <v>27591</v>
      </c>
      <c r="AE9" s="3"/>
      <c r="AF9" s="4">
        <f t="shared" si="0"/>
        <v>613694</v>
      </c>
    </row>
    <row r="10" spans="1:32" x14ac:dyDescent="0.25">
      <c r="A10" s="1">
        <v>6</v>
      </c>
      <c r="B10" s="2" t="s">
        <v>199</v>
      </c>
      <c r="C10" s="2" t="s">
        <v>200</v>
      </c>
      <c r="D10" s="2" t="s">
        <v>264</v>
      </c>
      <c r="E10" s="1">
        <f>525</f>
        <v>525</v>
      </c>
      <c r="F10" s="1">
        <f>100</f>
        <v>100</v>
      </c>
      <c r="G10" s="1"/>
      <c r="H10" s="1"/>
      <c r="I10" s="1">
        <f>25</f>
        <v>25</v>
      </c>
      <c r="J10" s="1"/>
      <c r="K10" s="1"/>
      <c r="L10" s="1"/>
      <c r="M10" s="1"/>
      <c r="N10" s="1"/>
      <c r="O10" s="1">
        <f>35</f>
        <v>35</v>
      </c>
      <c r="P10" s="1">
        <f>35</f>
        <v>35</v>
      </c>
      <c r="Q10" s="1">
        <f>35</f>
        <v>35</v>
      </c>
      <c r="R10" s="1">
        <f>35</f>
        <v>35</v>
      </c>
      <c r="S10" s="1">
        <f>20</f>
        <v>20</v>
      </c>
      <c r="T10" s="1">
        <f>20</f>
        <v>20</v>
      </c>
      <c r="U10" s="1"/>
      <c r="V10" s="1"/>
      <c r="W10" s="1"/>
      <c r="X10" s="1"/>
      <c r="Y10" s="1"/>
      <c r="Z10" s="1"/>
      <c r="AA10" s="3">
        <f>203666</f>
        <v>203666</v>
      </c>
      <c r="AB10" s="3"/>
      <c r="AC10" s="3">
        <f>96574</f>
        <v>96574</v>
      </c>
      <c r="AD10" s="3"/>
      <c r="AE10" s="3"/>
      <c r="AF10" s="4">
        <f t="shared" si="0"/>
        <v>300240</v>
      </c>
    </row>
    <row r="11" spans="1:32" x14ac:dyDescent="0.25">
      <c r="A11" s="1">
        <v>7</v>
      </c>
      <c r="B11" s="2" t="s">
        <v>49</v>
      </c>
      <c r="C11" s="2" t="s">
        <v>50</v>
      </c>
      <c r="D11" s="2" t="s">
        <v>264</v>
      </c>
      <c r="E11" s="1">
        <f>421+500</f>
        <v>921</v>
      </c>
      <c r="F11" s="1">
        <f>30+100</f>
        <v>130</v>
      </c>
      <c r="G11" s="1"/>
      <c r="H11" s="1"/>
      <c r="I11" s="1">
        <f>50+50</f>
        <v>100</v>
      </c>
      <c r="J11" s="1"/>
      <c r="K11" s="1">
        <f>15+5</f>
        <v>20</v>
      </c>
      <c r="L11" s="1">
        <v>20</v>
      </c>
      <c r="M11" s="1">
        <f>15+5</f>
        <v>20</v>
      </c>
      <c r="N11" s="1">
        <v>20</v>
      </c>
      <c r="O11" s="1">
        <f>40+40</f>
        <v>80</v>
      </c>
      <c r="P11" s="1">
        <f>50+40</f>
        <v>90</v>
      </c>
      <c r="Q11" s="1">
        <f>30+40</f>
        <v>70</v>
      </c>
      <c r="R11" s="1">
        <f>30+40</f>
        <v>70</v>
      </c>
      <c r="S11" s="1">
        <f>50+40</f>
        <v>90</v>
      </c>
      <c r="T11" s="1">
        <f>70+40</f>
        <v>110</v>
      </c>
      <c r="U11" s="1"/>
      <c r="V11" s="1"/>
      <c r="W11" s="1"/>
      <c r="X11" s="1"/>
      <c r="Y11" s="1"/>
      <c r="Z11" s="1"/>
      <c r="AA11" s="3">
        <f>162593+217917</f>
        <v>380510</v>
      </c>
      <c r="AB11" s="3">
        <f>54105+6499</f>
        <v>60604</v>
      </c>
      <c r="AC11" s="3">
        <f>144848+128766</f>
        <v>273614</v>
      </c>
      <c r="AD11" s="3"/>
      <c r="AE11" s="3"/>
      <c r="AF11" s="4">
        <f t="shared" si="0"/>
        <v>714728</v>
      </c>
    </row>
    <row r="12" spans="1:32" x14ac:dyDescent="0.25">
      <c r="A12" s="1">
        <v>8</v>
      </c>
      <c r="B12" s="2" t="s">
        <v>195</v>
      </c>
      <c r="C12" s="2" t="s">
        <v>196</v>
      </c>
      <c r="D12" s="2" t="s">
        <v>264</v>
      </c>
      <c r="E12" s="1"/>
      <c r="F12" s="1">
        <v>40</v>
      </c>
      <c r="G12" s="1"/>
      <c r="H12" s="1"/>
      <c r="I12" s="1">
        <v>50</v>
      </c>
      <c r="J12" s="1"/>
      <c r="K12" s="1">
        <v>35</v>
      </c>
      <c r="L12" s="1">
        <v>15</v>
      </c>
      <c r="M12" s="1">
        <v>35</v>
      </c>
      <c r="N12" s="1">
        <v>15</v>
      </c>
      <c r="O12" s="1">
        <v>40</v>
      </c>
      <c r="P12" s="1">
        <v>50</v>
      </c>
      <c r="Q12" s="1">
        <v>40</v>
      </c>
      <c r="R12" s="1">
        <v>30</v>
      </c>
      <c r="S12" s="1">
        <v>90</v>
      </c>
      <c r="T12" s="1">
        <v>130</v>
      </c>
      <c r="U12" s="1"/>
      <c r="V12" s="1"/>
      <c r="W12" s="1"/>
      <c r="X12" s="1"/>
      <c r="Y12" s="1"/>
      <c r="Z12" s="1"/>
      <c r="AA12" s="3">
        <v>61342</v>
      </c>
      <c r="AB12" s="3">
        <v>71452</v>
      </c>
      <c r="AC12" s="3">
        <v>203861</v>
      </c>
      <c r="AD12" s="3"/>
      <c r="AE12" s="3"/>
      <c r="AF12" s="4">
        <f t="shared" si="0"/>
        <v>336655</v>
      </c>
    </row>
    <row r="13" spans="1:32" x14ac:dyDescent="0.25">
      <c r="A13" s="1">
        <v>9</v>
      </c>
      <c r="B13" s="6" t="s">
        <v>53</v>
      </c>
      <c r="C13" s="2" t="s">
        <v>54</v>
      </c>
      <c r="D13" s="2" t="s">
        <v>265</v>
      </c>
      <c r="E13" s="1">
        <f>640+500+600</f>
        <v>1740</v>
      </c>
      <c r="F13" s="1">
        <f>250+275+150</f>
        <v>675</v>
      </c>
      <c r="G13" s="1">
        <f>10</f>
        <v>10</v>
      </c>
      <c r="H13" s="1"/>
      <c r="I13" s="1">
        <f>20+30+20</f>
        <v>70</v>
      </c>
      <c r="J13" s="1"/>
      <c r="K13" s="1"/>
      <c r="L13" s="1">
        <f>8</f>
        <v>8</v>
      </c>
      <c r="M13" s="1"/>
      <c r="N13" s="1">
        <f>2</f>
        <v>2</v>
      </c>
      <c r="O13" s="1">
        <f>25+10+20</f>
        <v>55</v>
      </c>
      <c r="P13" s="1">
        <f>20+25+20</f>
        <v>65</v>
      </c>
      <c r="Q13" s="1">
        <f>35+10+20</f>
        <v>65</v>
      </c>
      <c r="R13" s="1">
        <f>20+35+6</f>
        <v>61</v>
      </c>
      <c r="S13" s="1">
        <f>30+5+20</f>
        <v>55</v>
      </c>
      <c r="T13" s="1">
        <f>25+30+20</f>
        <v>75</v>
      </c>
      <c r="U13" s="1"/>
      <c r="V13" s="1">
        <f>30+100+25</f>
        <v>155</v>
      </c>
      <c r="W13" s="1">
        <f>2</f>
        <v>2</v>
      </c>
      <c r="X13" s="1">
        <f>2</f>
        <v>2</v>
      </c>
      <c r="Y13" s="1">
        <f>2</f>
        <v>2</v>
      </c>
      <c r="Z13" s="1">
        <f>2</f>
        <v>2</v>
      </c>
      <c r="AA13" s="3">
        <f>304399+289909+252072</f>
        <v>846380</v>
      </c>
      <c r="AB13" s="3">
        <f>8652</f>
        <v>8652</v>
      </c>
      <c r="AC13" s="3">
        <f>83172+61673+56877</f>
        <v>201722</v>
      </c>
      <c r="AD13" s="3">
        <f>27591+89278+22992</f>
        <v>139861</v>
      </c>
      <c r="AE13" s="3">
        <f>3716</f>
        <v>3716</v>
      </c>
      <c r="AF13" s="4">
        <f t="shared" si="0"/>
        <v>1200331</v>
      </c>
    </row>
    <row r="14" spans="1:32" x14ac:dyDescent="0.25">
      <c r="A14" s="1">
        <v>10</v>
      </c>
      <c r="B14" s="6" t="s">
        <v>203</v>
      </c>
      <c r="C14" s="2" t="s">
        <v>204</v>
      </c>
      <c r="D14" s="2" t="s">
        <v>265</v>
      </c>
      <c r="E14" s="1">
        <f>300</f>
        <v>300</v>
      </c>
      <c r="F14" s="1">
        <f>60</f>
        <v>60</v>
      </c>
      <c r="G14" s="1">
        <f>25</f>
        <v>25</v>
      </c>
      <c r="H14" s="1"/>
      <c r="I14" s="1"/>
      <c r="J14" s="1"/>
      <c r="K14" s="1"/>
      <c r="L14" s="1"/>
      <c r="M14" s="1"/>
      <c r="N14" s="1"/>
      <c r="O14" s="1">
        <f>50</f>
        <v>50</v>
      </c>
      <c r="P14" s="1">
        <f>50</f>
        <v>50</v>
      </c>
      <c r="Q14" s="1">
        <f>50</f>
        <v>50</v>
      </c>
      <c r="R14" s="1">
        <f>40</f>
        <v>40</v>
      </c>
      <c r="S14" s="1">
        <f>20</f>
        <v>20</v>
      </c>
      <c r="T14" s="1">
        <f>30</f>
        <v>30</v>
      </c>
      <c r="U14" s="1"/>
      <c r="V14" s="1"/>
      <c r="W14" s="1">
        <f>7</f>
        <v>7</v>
      </c>
      <c r="X14" s="1">
        <f>7</f>
        <v>7</v>
      </c>
      <c r="Y14" s="1">
        <f>7</f>
        <v>7</v>
      </c>
      <c r="Z14" s="1">
        <f>7</f>
        <v>7</v>
      </c>
      <c r="AA14" s="3">
        <f>126852</f>
        <v>126852</v>
      </c>
      <c r="AB14" s="3"/>
      <c r="AC14" s="3">
        <f>128765</f>
        <v>128765</v>
      </c>
      <c r="AD14" s="3"/>
      <c r="AE14" s="3">
        <f>12509</f>
        <v>12509</v>
      </c>
      <c r="AF14" s="4">
        <f t="shared" si="0"/>
        <v>268126</v>
      </c>
    </row>
    <row r="15" spans="1:32" x14ac:dyDescent="0.25">
      <c r="A15" s="1">
        <v>11</v>
      </c>
      <c r="B15" s="2" t="s">
        <v>55</v>
      </c>
      <c r="C15" s="2" t="s">
        <v>56</v>
      </c>
      <c r="D15" s="2" t="s">
        <v>265</v>
      </c>
      <c r="E15" s="1">
        <f>400</f>
        <v>400</v>
      </c>
      <c r="F15" s="1">
        <f>50</f>
        <v>50</v>
      </c>
      <c r="G15" s="1">
        <f>10</f>
        <v>10</v>
      </c>
      <c r="H15" s="1"/>
      <c r="I15" s="1">
        <f>20</f>
        <v>20</v>
      </c>
      <c r="J15" s="1"/>
      <c r="K15" s="1"/>
      <c r="L15" s="1"/>
      <c r="M15" s="1"/>
      <c r="N15" s="1"/>
      <c r="O15" s="1">
        <f>50+40</f>
        <v>90</v>
      </c>
      <c r="P15" s="1">
        <f>100+100</f>
        <v>200</v>
      </c>
      <c r="Q15" s="1">
        <f>50+40</f>
        <v>90</v>
      </c>
      <c r="R15" s="1">
        <f>170+70</f>
        <v>240</v>
      </c>
      <c r="S15" s="1">
        <f>50+40</f>
        <v>90</v>
      </c>
      <c r="T15" s="1">
        <f>180+60</f>
        <v>240</v>
      </c>
      <c r="U15" s="1"/>
      <c r="V15" s="1">
        <f>50+50</f>
        <v>100</v>
      </c>
      <c r="W15" s="1"/>
      <c r="X15" s="1"/>
      <c r="Y15" s="1"/>
      <c r="Z15" s="1"/>
      <c r="AA15" s="3">
        <f>151033</f>
        <v>151033</v>
      </c>
      <c r="AB15" s="3"/>
      <c r="AC15" s="3">
        <f>325609+187736</f>
        <v>513345</v>
      </c>
      <c r="AD15" s="3">
        <f>45100+45099</f>
        <v>90199</v>
      </c>
      <c r="AE15" s="3"/>
      <c r="AF15" s="4">
        <f t="shared" si="0"/>
        <v>754577</v>
      </c>
    </row>
    <row r="16" spans="1:32" x14ac:dyDescent="0.25">
      <c r="A16" s="1">
        <v>12</v>
      </c>
      <c r="B16" s="2" t="s">
        <v>160</v>
      </c>
      <c r="C16" s="2" t="s">
        <v>161</v>
      </c>
      <c r="D16" s="2" t="s">
        <v>265</v>
      </c>
      <c r="E16" s="1">
        <v>350</v>
      </c>
      <c r="F16" s="1">
        <v>300</v>
      </c>
      <c r="G16" s="1">
        <v>20</v>
      </c>
      <c r="H16" s="1">
        <v>20</v>
      </c>
      <c r="I16" s="1">
        <v>100</v>
      </c>
      <c r="J16" s="1"/>
      <c r="K16" s="1">
        <v>10</v>
      </c>
      <c r="L16" s="1">
        <v>10</v>
      </c>
      <c r="M16" s="1">
        <v>4</v>
      </c>
      <c r="N16" s="1">
        <v>10</v>
      </c>
      <c r="O16" s="1">
        <v>40</v>
      </c>
      <c r="P16" s="1">
        <v>50</v>
      </c>
      <c r="Q16" s="1">
        <v>40</v>
      </c>
      <c r="R16" s="1">
        <v>50</v>
      </c>
      <c r="S16" s="1">
        <v>40</v>
      </c>
      <c r="T16" s="1">
        <v>50</v>
      </c>
      <c r="U16" s="1"/>
      <c r="V16" s="1">
        <v>70</v>
      </c>
      <c r="W16" s="1"/>
      <c r="X16" s="1"/>
      <c r="Y16" s="1"/>
      <c r="Z16" s="1"/>
      <c r="AA16" s="3">
        <v>350499</v>
      </c>
      <c r="AB16" s="3">
        <v>26403</v>
      </c>
      <c r="AC16" s="3">
        <v>144849</v>
      </c>
      <c r="AD16" s="3">
        <v>63139</v>
      </c>
      <c r="AE16" s="3"/>
      <c r="AF16" s="4">
        <f t="shared" si="0"/>
        <v>584890</v>
      </c>
    </row>
    <row r="17" spans="1:32" x14ac:dyDescent="0.25">
      <c r="A17" s="1">
        <v>13</v>
      </c>
      <c r="B17" s="2" t="s">
        <v>59</v>
      </c>
      <c r="C17" s="2" t="s">
        <v>60</v>
      </c>
      <c r="D17" s="2" t="s">
        <v>265</v>
      </c>
      <c r="E17" s="1">
        <f>280</f>
        <v>280</v>
      </c>
      <c r="F17" s="1">
        <f>20</f>
        <v>20</v>
      </c>
      <c r="G17" s="1">
        <f>20</f>
        <v>20</v>
      </c>
      <c r="H17" s="1"/>
      <c r="I17" s="1">
        <f>20</f>
        <v>20</v>
      </c>
      <c r="J17" s="1"/>
      <c r="K17" s="1"/>
      <c r="L17" s="1">
        <f>10</f>
        <v>10</v>
      </c>
      <c r="M17" s="1"/>
      <c r="N17" s="1">
        <f>10</f>
        <v>10</v>
      </c>
      <c r="O17" s="1">
        <f>30</f>
        <v>30</v>
      </c>
      <c r="P17" s="1">
        <f>20</f>
        <v>20</v>
      </c>
      <c r="Q17" s="1">
        <f>40</f>
        <v>40</v>
      </c>
      <c r="R17" s="1">
        <f>70</f>
        <v>70</v>
      </c>
      <c r="S17" s="1">
        <f>30</f>
        <v>30</v>
      </c>
      <c r="T17" s="1">
        <f>70</f>
        <v>70</v>
      </c>
      <c r="U17" s="1"/>
      <c r="V17" s="1"/>
      <c r="W17" s="1"/>
      <c r="X17" s="1"/>
      <c r="Y17" s="1"/>
      <c r="Z17" s="1"/>
      <c r="AA17" s="3">
        <f>113882</f>
        <v>113882</v>
      </c>
      <c r="AB17" s="3">
        <f>17303</f>
        <v>17303</v>
      </c>
      <c r="AC17" s="3">
        <f>139470</f>
        <v>139470</v>
      </c>
      <c r="AD17" s="3"/>
      <c r="AE17" s="3"/>
      <c r="AF17" s="4">
        <f t="shared" si="0"/>
        <v>270655</v>
      </c>
    </row>
    <row r="18" spans="1:32" x14ac:dyDescent="0.25">
      <c r="A18" s="1">
        <v>14</v>
      </c>
      <c r="B18" s="2" t="s">
        <v>61</v>
      </c>
      <c r="C18" s="2" t="s">
        <v>62</v>
      </c>
      <c r="D18" s="2" t="s">
        <v>265</v>
      </c>
      <c r="E18" s="1">
        <f>200+800+450</f>
        <v>1450</v>
      </c>
      <c r="F18" s="1">
        <f>150+200</f>
        <v>350</v>
      </c>
      <c r="G18" s="1"/>
      <c r="H18" s="1"/>
      <c r="I18" s="1">
        <f>10+60+110</f>
        <v>180</v>
      </c>
      <c r="J18" s="1"/>
      <c r="K18" s="1"/>
      <c r="L18" s="1"/>
      <c r="M18" s="1"/>
      <c r="N18" s="1"/>
      <c r="O18" s="1">
        <f>150+25+30</f>
        <v>205</v>
      </c>
      <c r="P18" s="1">
        <f>150+40+35</f>
        <v>225</v>
      </c>
      <c r="Q18" s="1">
        <f>150+25+30</f>
        <v>205</v>
      </c>
      <c r="R18" s="1">
        <f>70+70+50</f>
        <v>190</v>
      </c>
      <c r="S18" s="1">
        <f>60+10+40</f>
        <v>110</v>
      </c>
      <c r="T18" s="1">
        <f>30+40+100</f>
        <v>170</v>
      </c>
      <c r="U18" s="1"/>
      <c r="V18" s="1">
        <f>125</f>
        <v>125</v>
      </c>
      <c r="W18" s="1"/>
      <c r="X18" s="1"/>
      <c r="Y18" s="1"/>
      <c r="Z18" s="1"/>
      <c r="AA18" s="3">
        <f>134534+352432+204105</f>
        <v>691071</v>
      </c>
      <c r="AB18" s="3"/>
      <c r="AC18" s="3">
        <f>327325+112632+152873</f>
        <v>592830</v>
      </c>
      <c r="AD18" s="3">
        <f>111598</f>
        <v>111598</v>
      </c>
      <c r="AE18" s="3"/>
      <c r="AF18" s="4">
        <f t="shared" si="0"/>
        <v>1395499</v>
      </c>
    </row>
    <row r="19" spans="1:32" x14ac:dyDescent="0.25">
      <c r="A19" s="1">
        <v>15</v>
      </c>
      <c r="B19" s="2" t="s">
        <v>63</v>
      </c>
      <c r="C19" s="2" t="s">
        <v>64</v>
      </c>
      <c r="D19" s="2" t="s">
        <v>265</v>
      </c>
      <c r="E19" s="1">
        <f>650+880</f>
        <v>1530</v>
      </c>
      <c r="F19" s="1">
        <f>80+60</f>
        <v>140</v>
      </c>
      <c r="G19" s="1">
        <f>10</f>
        <v>10</v>
      </c>
      <c r="H19" s="1"/>
      <c r="I19" s="1">
        <f>5+15</f>
        <v>20</v>
      </c>
      <c r="J19" s="1"/>
      <c r="K19" s="1">
        <f>12+7</f>
        <v>19</v>
      </c>
      <c r="L19" s="1">
        <f>3</f>
        <v>3</v>
      </c>
      <c r="M19" s="1">
        <f>12</f>
        <v>12</v>
      </c>
      <c r="N19" s="1">
        <f>3</f>
        <v>3</v>
      </c>
      <c r="O19" s="1">
        <f>25</f>
        <v>25</v>
      </c>
      <c r="P19" s="1">
        <f>30+10</f>
        <v>40</v>
      </c>
      <c r="Q19" s="1">
        <f>25</f>
        <v>25</v>
      </c>
      <c r="R19" s="1">
        <f>30+10</f>
        <v>40</v>
      </c>
      <c r="S19" s="1">
        <f>15</f>
        <v>15</v>
      </c>
      <c r="T19" s="1">
        <f>30+40</f>
        <v>70</v>
      </c>
      <c r="U19" s="1"/>
      <c r="V19" s="1">
        <f>30+15</f>
        <v>45</v>
      </c>
      <c r="W19" s="1"/>
      <c r="X19" s="1"/>
      <c r="Y19" s="1"/>
      <c r="Z19" s="1"/>
      <c r="AA19" s="3">
        <f>208671+273176</f>
        <v>481847</v>
      </c>
      <c r="AB19" s="3">
        <f>15598+9741</f>
        <v>25339</v>
      </c>
      <c r="AC19" s="3">
        <f>83151+32165</f>
        <v>115316</v>
      </c>
      <c r="AD19" s="3">
        <f>27591+13795</f>
        <v>41386</v>
      </c>
      <c r="AE19" s="3"/>
      <c r="AF19" s="4">
        <f t="shared" si="0"/>
        <v>663888</v>
      </c>
    </row>
    <row r="20" spans="1:32" x14ac:dyDescent="0.25">
      <c r="A20" s="1">
        <v>16</v>
      </c>
      <c r="B20" s="6" t="s">
        <v>65</v>
      </c>
      <c r="C20" s="2" t="s">
        <v>66</v>
      </c>
      <c r="D20" s="2" t="s">
        <v>265</v>
      </c>
      <c r="E20" s="1">
        <f>800</f>
        <v>800</v>
      </c>
      <c r="F20" s="1">
        <f>200+100+50</f>
        <v>350</v>
      </c>
      <c r="G20" s="1">
        <f>20+20</f>
        <v>40</v>
      </c>
      <c r="H20" s="1"/>
      <c r="I20" s="1">
        <f>50+100</f>
        <v>150</v>
      </c>
      <c r="J20" s="1"/>
      <c r="K20" s="1">
        <f>6</f>
        <v>6</v>
      </c>
      <c r="L20" s="1"/>
      <c r="M20" s="1">
        <f>6</f>
        <v>6</v>
      </c>
      <c r="N20" s="1"/>
      <c r="O20" s="1">
        <f>50+125</f>
        <v>175</v>
      </c>
      <c r="P20" s="1">
        <f>50</f>
        <v>50</v>
      </c>
      <c r="Q20" s="1">
        <f>50+125</f>
        <v>175</v>
      </c>
      <c r="R20" s="1">
        <f>50+150</f>
        <v>200</v>
      </c>
      <c r="S20" s="1">
        <f>25+80</f>
        <v>105</v>
      </c>
      <c r="T20" s="1">
        <f>50+150</f>
        <v>200</v>
      </c>
      <c r="U20" s="1">
        <f>75</f>
        <v>75</v>
      </c>
      <c r="V20" s="1">
        <f>50</f>
        <v>50</v>
      </c>
      <c r="W20" s="1"/>
      <c r="X20" s="1"/>
      <c r="Y20" s="1"/>
      <c r="Z20" s="1"/>
      <c r="AA20" s="3">
        <f>360829+166259</f>
        <v>527088</v>
      </c>
      <c r="AB20" s="3">
        <f>7799</f>
        <v>7799</v>
      </c>
      <c r="AC20" s="3">
        <f>147534+378293</f>
        <v>525827</v>
      </c>
      <c r="AD20" s="3">
        <f>45099</f>
        <v>45099</v>
      </c>
      <c r="AE20" s="3"/>
      <c r="AF20" s="4">
        <f t="shared" si="0"/>
        <v>1105813</v>
      </c>
    </row>
    <row r="21" spans="1:32" x14ac:dyDescent="0.25">
      <c r="A21" s="1">
        <v>17</v>
      </c>
      <c r="B21" s="6" t="s">
        <v>67</v>
      </c>
      <c r="C21" s="2" t="s">
        <v>68</v>
      </c>
      <c r="D21" s="2" t="s">
        <v>266</v>
      </c>
      <c r="E21" s="1"/>
      <c r="F21" s="1">
        <f>500</f>
        <v>500</v>
      </c>
      <c r="G21" s="1"/>
      <c r="H21" s="1"/>
      <c r="I21" s="1"/>
      <c r="J21" s="1"/>
      <c r="K21" s="1">
        <f>7</f>
        <v>7</v>
      </c>
      <c r="L21" s="1"/>
      <c r="M21" s="1"/>
      <c r="N21" s="1"/>
      <c r="O21" s="1">
        <f>30</f>
        <v>30</v>
      </c>
      <c r="P21" s="1">
        <f>30</f>
        <v>30</v>
      </c>
      <c r="Q21" s="1">
        <f>30</f>
        <v>30</v>
      </c>
      <c r="R21" s="1"/>
      <c r="S21" s="1">
        <f>30</f>
        <v>30</v>
      </c>
      <c r="T21" s="1">
        <f>30</f>
        <v>30</v>
      </c>
      <c r="U21" s="1"/>
      <c r="V21" s="1">
        <f>10</f>
        <v>10</v>
      </c>
      <c r="W21" s="1"/>
      <c r="X21" s="1"/>
      <c r="Y21" s="1"/>
      <c r="Z21" s="1"/>
      <c r="AA21" s="3">
        <f>252693</f>
        <v>252693</v>
      </c>
      <c r="AB21" s="3">
        <f>4549</f>
        <v>4549</v>
      </c>
      <c r="AC21" s="3">
        <f>80492</f>
        <v>80492</v>
      </c>
      <c r="AD21" s="3">
        <f>9197</f>
        <v>9197</v>
      </c>
      <c r="AE21" s="3"/>
      <c r="AF21" s="4">
        <f t="shared" si="0"/>
        <v>346931</v>
      </c>
    </row>
    <row r="22" spans="1:32" x14ac:dyDescent="0.25">
      <c r="A22" s="1">
        <v>18</v>
      </c>
      <c r="B22" s="6" t="s">
        <v>178</v>
      </c>
      <c r="C22" s="2" t="s">
        <v>70</v>
      </c>
      <c r="D22" s="2" t="s">
        <v>266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3"/>
      <c r="AB22" s="3"/>
      <c r="AC22" s="3"/>
      <c r="AD22" s="3"/>
      <c r="AE22" s="3"/>
      <c r="AF22" s="4">
        <f t="shared" si="0"/>
        <v>0</v>
      </c>
    </row>
    <row r="23" spans="1:32" x14ac:dyDescent="0.25">
      <c r="A23" s="1">
        <v>19</v>
      </c>
      <c r="B23" s="6" t="s">
        <v>194</v>
      </c>
      <c r="C23" s="2" t="s">
        <v>172</v>
      </c>
      <c r="D23" s="2" t="s">
        <v>266</v>
      </c>
      <c r="E23" s="1">
        <f>450+450</f>
        <v>900</v>
      </c>
      <c r="F23" s="1">
        <f>250+250</f>
        <v>500</v>
      </c>
      <c r="G23" s="1">
        <f>100+75</f>
        <v>175</v>
      </c>
      <c r="H23" s="1"/>
      <c r="I23" s="1">
        <f>25</f>
        <v>25</v>
      </c>
      <c r="J23" s="1"/>
      <c r="K23" s="1">
        <f>12</f>
        <v>12</v>
      </c>
      <c r="L23" s="1"/>
      <c r="M23" s="1">
        <f>12</f>
        <v>12</v>
      </c>
      <c r="N23" s="1"/>
      <c r="O23" s="1">
        <f>20</f>
        <v>20</v>
      </c>
      <c r="P23" s="1">
        <f>10</f>
        <v>10</v>
      </c>
      <c r="Q23" s="1">
        <f>25</f>
        <v>25</v>
      </c>
      <c r="R23" s="1">
        <f>10</f>
        <v>10</v>
      </c>
      <c r="S23" s="1">
        <f>5</f>
        <v>5</v>
      </c>
      <c r="T23" s="1">
        <f>10</f>
        <v>10</v>
      </c>
      <c r="U23" s="1"/>
      <c r="V23" s="1">
        <f>10</f>
        <v>10</v>
      </c>
      <c r="W23" s="1">
        <f>10</f>
        <v>10</v>
      </c>
      <c r="X23" s="1">
        <f>10</f>
        <v>10</v>
      </c>
      <c r="Y23" s="1">
        <f>10</f>
        <v>10</v>
      </c>
      <c r="Z23" s="1">
        <f>10</f>
        <v>10</v>
      </c>
      <c r="AA23" s="3">
        <f>343646+302305</f>
        <v>645951</v>
      </c>
      <c r="AB23" s="3">
        <f>15599</f>
        <v>15599</v>
      </c>
      <c r="AC23" s="3">
        <f>26847+16083</f>
        <v>42930</v>
      </c>
      <c r="AD23" s="3">
        <f>9197</f>
        <v>9197</v>
      </c>
      <c r="AE23" s="3">
        <f>17870</f>
        <v>17870</v>
      </c>
      <c r="AF23" s="4">
        <f t="shared" si="0"/>
        <v>731547</v>
      </c>
    </row>
    <row r="24" spans="1:32" x14ac:dyDescent="0.25">
      <c r="A24" s="1">
        <v>20</v>
      </c>
      <c r="B24" s="6" t="s">
        <v>191</v>
      </c>
      <c r="C24" s="2" t="s">
        <v>192</v>
      </c>
      <c r="D24" s="2" t="s">
        <v>266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f>25</f>
        <v>25</v>
      </c>
      <c r="P24" s="1">
        <f>60</f>
        <v>60</v>
      </c>
      <c r="Q24" s="1">
        <f>25</f>
        <v>25</v>
      </c>
      <c r="R24" s="1">
        <f>100</f>
        <v>100</v>
      </c>
      <c r="S24" s="1">
        <f>25</f>
        <v>25</v>
      </c>
      <c r="T24" s="1">
        <f>100</f>
        <v>100</v>
      </c>
      <c r="U24" s="1"/>
      <c r="V24" s="1">
        <f>150</f>
        <v>150</v>
      </c>
      <c r="W24" s="1"/>
      <c r="X24" s="1">
        <f>5</f>
        <v>5</v>
      </c>
      <c r="Y24" s="1"/>
      <c r="Z24" s="1">
        <f>25</f>
        <v>25</v>
      </c>
      <c r="AA24" s="33"/>
      <c r="AB24" s="3"/>
      <c r="AC24" s="3">
        <f>179656</f>
        <v>179656</v>
      </c>
      <c r="AD24" s="3">
        <f>133918</f>
        <v>133918</v>
      </c>
      <c r="AE24" s="3">
        <f>13403</f>
        <v>13403</v>
      </c>
      <c r="AF24" s="4">
        <f t="shared" si="0"/>
        <v>326977</v>
      </c>
    </row>
    <row r="25" spans="1:32" x14ac:dyDescent="0.25">
      <c r="A25" s="1">
        <v>21</v>
      </c>
      <c r="B25" s="6" t="s">
        <v>229</v>
      </c>
      <c r="C25" s="2" t="s">
        <v>230</v>
      </c>
      <c r="D25" s="2" t="s">
        <v>266</v>
      </c>
      <c r="E25" s="1">
        <v>500</v>
      </c>
      <c r="F25" s="1">
        <v>200</v>
      </c>
      <c r="G25" s="1"/>
      <c r="H25" s="1"/>
      <c r="I25" s="1"/>
      <c r="J25" s="1"/>
      <c r="K25" s="1"/>
      <c r="L25" s="1"/>
      <c r="M25" s="1"/>
      <c r="N25" s="1"/>
      <c r="O25" s="1">
        <v>15</v>
      </c>
      <c r="P25" s="1">
        <v>50</v>
      </c>
      <c r="Q25" s="1">
        <v>20</v>
      </c>
      <c r="R25" s="1">
        <v>50</v>
      </c>
      <c r="S25" s="1">
        <v>10</v>
      </c>
      <c r="T25" s="1">
        <v>50</v>
      </c>
      <c r="U25" s="1"/>
      <c r="V25" s="1">
        <v>50</v>
      </c>
      <c r="W25" s="1">
        <v>6</v>
      </c>
      <c r="X25" s="1">
        <v>6</v>
      </c>
      <c r="Y25" s="1">
        <v>6</v>
      </c>
      <c r="Z25" s="1">
        <v>7</v>
      </c>
      <c r="AA25" s="3">
        <v>227329</v>
      </c>
      <c r="AB25" s="3"/>
      <c r="AC25" s="3">
        <v>104578</v>
      </c>
      <c r="AD25" s="3">
        <v>45099</v>
      </c>
      <c r="AE25" s="3">
        <v>11169</v>
      </c>
      <c r="AF25" s="4">
        <f t="shared" si="0"/>
        <v>388175</v>
      </c>
    </row>
    <row r="26" spans="1:32" x14ac:dyDescent="0.25">
      <c r="A26" s="1">
        <v>22</v>
      </c>
      <c r="B26" s="6" t="s">
        <v>244</v>
      </c>
      <c r="C26" s="2" t="s">
        <v>245</v>
      </c>
      <c r="D26" s="2" t="s">
        <v>266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3"/>
      <c r="AB26" s="3"/>
      <c r="AC26" s="3"/>
      <c r="AD26" s="3"/>
      <c r="AE26" s="3"/>
      <c r="AF26" s="4">
        <f t="shared" si="0"/>
        <v>0</v>
      </c>
    </row>
    <row r="27" spans="1:32" x14ac:dyDescent="0.25">
      <c r="A27" s="1">
        <v>23</v>
      </c>
      <c r="B27" s="2" t="s">
        <v>71</v>
      </c>
      <c r="C27" s="2" t="s">
        <v>72</v>
      </c>
      <c r="D27" s="2" t="s">
        <v>267</v>
      </c>
      <c r="E27" s="1">
        <f>378+550</f>
        <v>928</v>
      </c>
      <c r="F27" s="1">
        <f>320+350</f>
        <v>670</v>
      </c>
      <c r="G27" s="1">
        <f>25+30</f>
        <v>55</v>
      </c>
      <c r="H27" s="1">
        <f>50+25</f>
        <v>75</v>
      </c>
      <c r="I27" s="1">
        <f>50+60</f>
        <v>110</v>
      </c>
      <c r="J27" s="1"/>
      <c r="K27" s="1"/>
      <c r="L27" s="1">
        <f>2</f>
        <v>2</v>
      </c>
      <c r="M27" s="1"/>
      <c r="N27" s="1"/>
      <c r="O27" s="1">
        <f>15+20</f>
        <v>35</v>
      </c>
      <c r="P27" s="1">
        <f>25+40</f>
        <v>65</v>
      </c>
      <c r="Q27" s="1">
        <f>15+20</f>
        <v>35</v>
      </c>
      <c r="R27" s="1">
        <f>25+40</f>
        <v>65</v>
      </c>
      <c r="S27" s="1">
        <f>15+20</f>
        <v>35</v>
      </c>
      <c r="T27" s="1">
        <f>25+40</f>
        <v>65</v>
      </c>
      <c r="U27" s="1">
        <f>20</f>
        <v>20</v>
      </c>
      <c r="V27" s="1">
        <f>100</f>
        <v>100</v>
      </c>
      <c r="W27" s="1">
        <f>4</f>
        <v>4</v>
      </c>
      <c r="X27" s="1">
        <f>4</f>
        <v>4</v>
      </c>
      <c r="Y27" s="1">
        <f>4</f>
        <v>4</v>
      </c>
      <c r="Z27" s="1">
        <f>4</f>
        <v>4</v>
      </c>
      <c r="AA27" s="3">
        <f>345977+402206</f>
        <v>748183</v>
      </c>
      <c r="AB27" s="3">
        <f>1731</f>
        <v>1731</v>
      </c>
      <c r="AC27" s="3">
        <f>64370+107287</f>
        <v>171657</v>
      </c>
      <c r="AD27" s="3">
        <f>89279</f>
        <v>89279</v>
      </c>
      <c r="AE27" s="3">
        <f>7431</f>
        <v>7431</v>
      </c>
      <c r="AF27" s="4">
        <f t="shared" si="0"/>
        <v>1018281</v>
      </c>
    </row>
    <row r="28" spans="1:32" x14ac:dyDescent="0.25">
      <c r="A28" s="1">
        <v>24</v>
      </c>
      <c r="B28" s="2" t="s">
        <v>73</v>
      </c>
      <c r="C28" s="2" t="s">
        <v>74</v>
      </c>
      <c r="D28" s="2" t="s">
        <v>267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3"/>
      <c r="AB28" s="3"/>
      <c r="AC28" s="3"/>
      <c r="AD28" s="3"/>
      <c r="AE28" s="3"/>
      <c r="AF28" s="4">
        <f t="shared" si="0"/>
        <v>0</v>
      </c>
    </row>
    <row r="29" spans="1:32" x14ac:dyDescent="0.25">
      <c r="A29" s="1">
        <v>25</v>
      </c>
      <c r="B29" s="2" t="s">
        <v>75</v>
      </c>
      <c r="C29" s="2" t="s">
        <v>76</v>
      </c>
      <c r="D29" s="2" t="s">
        <v>267</v>
      </c>
      <c r="E29" s="7">
        <f>550+415+280</f>
        <v>1245</v>
      </c>
      <c r="F29" s="7">
        <f>100+30</f>
        <v>130</v>
      </c>
      <c r="G29" s="7"/>
      <c r="H29" s="7">
        <f>5+10</f>
        <v>15</v>
      </c>
      <c r="I29" s="7">
        <f>5+10</f>
        <v>15</v>
      </c>
      <c r="J29" s="7"/>
      <c r="K29" s="7">
        <f>20+30+67</f>
        <v>117</v>
      </c>
      <c r="L29" s="7">
        <f>10+20+40</f>
        <v>70</v>
      </c>
      <c r="M29" s="7">
        <f>20+30+72</f>
        <v>122</v>
      </c>
      <c r="N29" s="7">
        <f>10+20+30</f>
        <v>60</v>
      </c>
      <c r="O29" s="7">
        <f>40</f>
        <v>40</v>
      </c>
      <c r="P29" s="7">
        <f>20+30+40</f>
        <v>90</v>
      </c>
      <c r="Q29" s="7"/>
      <c r="R29" s="7"/>
      <c r="S29" s="7">
        <f>15+10+10</f>
        <v>35</v>
      </c>
      <c r="T29" s="7">
        <f>20+10+30</f>
        <v>60</v>
      </c>
      <c r="U29" s="7"/>
      <c r="V29" s="7">
        <f>100</f>
        <v>100</v>
      </c>
      <c r="W29" s="7">
        <f>3+5+8</f>
        <v>16</v>
      </c>
      <c r="X29" s="7">
        <f>3+5</f>
        <v>8</v>
      </c>
      <c r="Y29" s="7">
        <f>3+5+15</f>
        <v>23</v>
      </c>
      <c r="Z29" s="7">
        <f>3+5+6</f>
        <v>14</v>
      </c>
      <c r="AA29" s="8">
        <f>196437+104789+99904</f>
        <v>401130</v>
      </c>
      <c r="AB29" s="8">
        <f>45198+73604+150905</f>
        <v>269707</v>
      </c>
      <c r="AC29" s="8">
        <f>50976+26814+42896</f>
        <v>120686</v>
      </c>
      <c r="AD29" s="8">
        <f>89279</f>
        <v>89279</v>
      </c>
      <c r="AE29" s="8">
        <f>5574+9288+12956</f>
        <v>27818</v>
      </c>
      <c r="AF29" s="4">
        <f t="shared" si="0"/>
        <v>908620</v>
      </c>
    </row>
    <row r="30" spans="1:32" x14ac:dyDescent="0.25">
      <c r="A30" s="1">
        <v>26</v>
      </c>
      <c r="B30" s="2" t="s">
        <v>181</v>
      </c>
      <c r="C30" s="2" t="s">
        <v>182</v>
      </c>
      <c r="D30" s="2" t="s">
        <v>267</v>
      </c>
      <c r="E30" s="7">
        <f>250</f>
        <v>250</v>
      </c>
      <c r="F30" s="7">
        <f>225</f>
        <v>225</v>
      </c>
      <c r="G30" s="7">
        <f>85</f>
        <v>85</v>
      </c>
      <c r="H30" s="7"/>
      <c r="I30" s="7"/>
      <c r="J30" s="7"/>
      <c r="K30" s="7"/>
      <c r="L30" s="7"/>
      <c r="M30" s="7"/>
      <c r="N30" s="7"/>
      <c r="O30" s="7">
        <f>5</f>
        <v>5</v>
      </c>
      <c r="P30" s="7">
        <f>10</f>
        <v>10</v>
      </c>
      <c r="Q30" s="7">
        <f>5</f>
        <v>5</v>
      </c>
      <c r="R30" s="7">
        <f>10</f>
        <v>10</v>
      </c>
      <c r="S30" s="7">
        <f>15</f>
        <v>15</v>
      </c>
      <c r="T30" s="7">
        <f>10</f>
        <v>10</v>
      </c>
      <c r="U30" s="7"/>
      <c r="V30" s="7"/>
      <c r="W30" s="7">
        <f>10</f>
        <v>10</v>
      </c>
      <c r="X30" s="7">
        <f>5</f>
        <v>5</v>
      </c>
      <c r="Y30" s="7">
        <f>10</f>
        <v>10</v>
      </c>
      <c r="Z30" s="7">
        <f>5</f>
        <v>5</v>
      </c>
      <c r="AA30" s="8">
        <f>247481</f>
        <v>247481</v>
      </c>
      <c r="AB30" s="8"/>
      <c r="AC30" s="8">
        <v>29506</v>
      </c>
      <c r="AD30" s="8"/>
      <c r="AE30" s="8">
        <f>13403</f>
        <v>13403</v>
      </c>
      <c r="AF30" s="4">
        <f t="shared" si="0"/>
        <v>290390</v>
      </c>
    </row>
    <row r="31" spans="1:32" x14ac:dyDescent="0.25">
      <c r="A31" s="1"/>
      <c r="B31" s="28" t="s">
        <v>79</v>
      </c>
      <c r="C31" s="28" t="s">
        <v>80</v>
      </c>
      <c r="D31" s="2" t="s">
        <v>268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  <c r="AB31" s="8"/>
      <c r="AC31" s="8"/>
      <c r="AD31" s="8"/>
      <c r="AE31" s="8"/>
      <c r="AF31" s="4">
        <f t="shared" si="0"/>
        <v>0</v>
      </c>
    </row>
    <row r="32" spans="1:32" x14ac:dyDescent="0.25">
      <c r="A32" s="1">
        <v>27</v>
      </c>
      <c r="B32" s="2" t="s">
        <v>193</v>
      </c>
      <c r="C32" s="2" t="s">
        <v>80</v>
      </c>
      <c r="D32" s="2" t="s">
        <v>268</v>
      </c>
      <c r="E32" s="7">
        <v>555</v>
      </c>
      <c r="F32" s="7">
        <v>300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>
        <v>291756</v>
      </c>
      <c r="AB32" s="8"/>
      <c r="AC32" s="8"/>
      <c r="AD32" s="8"/>
      <c r="AE32" s="8"/>
      <c r="AF32" s="4">
        <f t="shared" si="0"/>
        <v>291756</v>
      </c>
    </row>
    <row r="33" spans="1:32" x14ac:dyDescent="0.25">
      <c r="A33" s="1"/>
      <c r="B33" s="28" t="s">
        <v>225</v>
      </c>
      <c r="C33" s="28" t="s">
        <v>80</v>
      </c>
      <c r="D33" s="2" t="s">
        <v>268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  <c r="AB33" s="8"/>
      <c r="AC33" s="8"/>
      <c r="AD33" s="8"/>
      <c r="AE33" s="8"/>
      <c r="AF33" s="4">
        <f t="shared" si="0"/>
        <v>0</v>
      </c>
    </row>
    <row r="34" spans="1:32" x14ac:dyDescent="0.25">
      <c r="A34" s="1">
        <v>28</v>
      </c>
      <c r="B34" s="2" t="s">
        <v>277</v>
      </c>
      <c r="C34" s="2" t="s">
        <v>80</v>
      </c>
      <c r="D34" s="2" t="s">
        <v>268</v>
      </c>
      <c r="E34" s="7">
        <v>600</v>
      </c>
      <c r="F34" s="7">
        <v>100</v>
      </c>
      <c r="G34" s="7">
        <v>10</v>
      </c>
      <c r="H34" s="7"/>
      <c r="I34" s="7">
        <v>50</v>
      </c>
      <c r="J34" s="7"/>
      <c r="K34" s="7"/>
      <c r="L34" s="7">
        <v>10</v>
      </c>
      <c r="M34" s="7"/>
      <c r="N34" s="7">
        <v>5</v>
      </c>
      <c r="O34" s="7">
        <v>5</v>
      </c>
      <c r="P34" s="7">
        <v>20</v>
      </c>
      <c r="Q34" s="7">
        <v>15</v>
      </c>
      <c r="R34" s="7">
        <v>20</v>
      </c>
      <c r="S34" s="7">
        <v>15</v>
      </c>
      <c r="T34" s="7">
        <v>20</v>
      </c>
      <c r="U34" s="7"/>
      <c r="V34" s="7">
        <v>20</v>
      </c>
      <c r="W34" s="7"/>
      <c r="X34" s="7"/>
      <c r="Y34" s="7"/>
      <c r="Z34" s="7"/>
      <c r="AA34" s="8">
        <f>251478</f>
        <v>251478</v>
      </c>
      <c r="AB34" s="8">
        <f>12978</f>
        <v>12978</v>
      </c>
      <c r="AC34" s="8">
        <f>50959</f>
        <v>50959</v>
      </c>
      <c r="AD34" s="8">
        <f>18394</f>
        <v>18394</v>
      </c>
      <c r="AE34" s="8"/>
      <c r="AF34" s="4">
        <f t="shared" si="0"/>
        <v>333809</v>
      </c>
    </row>
    <row r="35" spans="1:32" x14ac:dyDescent="0.25">
      <c r="A35" s="1">
        <v>29</v>
      </c>
      <c r="B35" s="2" t="s">
        <v>81</v>
      </c>
      <c r="C35" s="2" t="s">
        <v>82</v>
      </c>
      <c r="D35" s="2" t="s">
        <v>268</v>
      </c>
      <c r="E35" s="1">
        <f>500+650+520+460</f>
        <v>2130</v>
      </c>
      <c r="F35" s="1">
        <f>200+350+225+200</f>
        <v>975</v>
      </c>
      <c r="G35" s="1"/>
      <c r="H35" s="1">
        <f>25</f>
        <v>25</v>
      </c>
      <c r="I35" s="1">
        <f>30+50+50</f>
        <v>130</v>
      </c>
      <c r="J35" s="1"/>
      <c r="K35" s="1"/>
      <c r="L35" s="1"/>
      <c r="M35" s="1"/>
      <c r="N35" s="1"/>
      <c r="O35" s="1">
        <f>30+20+70+100</f>
        <v>220</v>
      </c>
      <c r="P35" s="1">
        <f>30+10+15+30</f>
        <v>85</v>
      </c>
      <c r="Q35" s="1">
        <f>30+20+30+100</f>
        <v>180</v>
      </c>
      <c r="R35" s="1">
        <f>30+10+15+30</f>
        <v>85</v>
      </c>
      <c r="S35" s="1">
        <f>5+5+25</f>
        <v>35</v>
      </c>
      <c r="T35" s="1">
        <f>25+15</f>
        <v>40</v>
      </c>
      <c r="U35" s="1"/>
      <c r="V35" s="1"/>
      <c r="W35" s="1"/>
      <c r="X35" s="1"/>
      <c r="Y35" s="1"/>
      <c r="Z35" s="1"/>
      <c r="AA35" s="3">
        <f>252005+341013+300681+258355</f>
        <v>1152054</v>
      </c>
      <c r="AB35" s="3"/>
      <c r="AC35" s="3">
        <f>67067+34884+96603+147597</f>
        <v>346151</v>
      </c>
      <c r="AD35" s="3"/>
      <c r="AE35" s="3"/>
      <c r="AF35" s="4">
        <f t="shared" si="0"/>
        <v>1498205</v>
      </c>
    </row>
    <row r="36" spans="1:32" x14ac:dyDescent="0.25">
      <c r="A36" s="1">
        <v>30</v>
      </c>
      <c r="B36" s="2" t="s">
        <v>281</v>
      </c>
      <c r="C36" s="2" t="s">
        <v>184</v>
      </c>
      <c r="D36" s="2" t="s">
        <v>268</v>
      </c>
      <c r="E36" s="1">
        <f>354+350</f>
        <v>704</v>
      </c>
      <c r="F36" s="1">
        <f>150+80</f>
        <v>230</v>
      </c>
      <c r="G36" s="1">
        <f>35</f>
        <v>35</v>
      </c>
      <c r="H36" s="1"/>
      <c r="I36" s="1">
        <f>120</f>
        <v>120</v>
      </c>
      <c r="J36" s="1"/>
      <c r="K36" s="1"/>
      <c r="L36" s="1"/>
      <c r="M36" s="1"/>
      <c r="N36" s="1"/>
      <c r="O36" s="1">
        <f>70</f>
        <v>70</v>
      </c>
      <c r="P36" s="1">
        <f>50</f>
        <v>50</v>
      </c>
      <c r="Q36" s="1">
        <f>50</f>
        <v>50</v>
      </c>
      <c r="R36" s="1">
        <f>60+20</f>
        <v>80</v>
      </c>
      <c r="S36" s="1">
        <f>30</f>
        <v>30</v>
      </c>
      <c r="T36" s="1">
        <f>40+50</f>
        <v>90</v>
      </c>
      <c r="U36" s="1"/>
      <c r="V36" s="1"/>
      <c r="W36" s="1">
        <f>10</f>
        <v>10</v>
      </c>
      <c r="X36" s="1">
        <f>10</f>
        <v>10</v>
      </c>
      <c r="Y36" s="1">
        <f>10</f>
        <v>10</v>
      </c>
      <c r="Z36" s="1">
        <f>10</f>
        <v>10</v>
      </c>
      <c r="AA36" s="3">
        <f>165195+256599</f>
        <v>421794</v>
      </c>
      <c r="AB36" s="3"/>
      <c r="AC36" s="3">
        <f>144848+53635</f>
        <v>198483</v>
      </c>
      <c r="AD36" s="3"/>
      <c r="AE36" s="3">
        <f>17870</f>
        <v>17870</v>
      </c>
      <c r="AF36" s="4">
        <f t="shared" si="0"/>
        <v>638147</v>
      </c>
    </row>
    <row r="37" spans="1:32" x14ac:dyDescent="0.25">
      <c r="A37" s="1">
        <v>31</v>
      </c>
      <c r="B37" s="2" t="s">
        <v>227</v>
      </c>
      <c r="C37" s="2" t="s">
        <v>157</v>
      </c>
      <c r="D37" s="2" t="s">
        <v>268</v>
      </c>
      <c r="E37" s="1">
        <f>300+450+450+400</f>
        <v>1600</v>
      </c>
      <c r="F37" s="1">
        <f>150+120+120+100</f>
        <v>490</v>
      </c>
      <c r="G37" s="1">
        <f>50+20</f>
        <v>70</v>
      </c>
      <c r="H37" s="1"/>
      <c r="I37" s="1">
        <f>80+80+80+50</f>
        <v>290</v>
      </c>
      <c r="J37" s="1"/>
      <c r="K37" s="1">
        <f>25+20</f>
        <v>45</v>
      </c>
      <c r="L37" s="1">
        <f>5</f>
        <v>5</v>
      </c>
      <c r="M37" s="1">
        <f>25+20</f>
        <v>45</v>
      </c>
      <c r="N37" s="1">
        <f>5</f>
        <v>5</v>
      </c>
      <c r="O37" s="1">
        <f>70+40+80+60</f>
        <v>250</v>
      </c>
      <c r="P37" s="1">
        <f>60+30+80+80</f>
        <v>250</v>
      </c>
      <c r="Q37" s="1">
        <f>50+60+80+60</f>
        <v>250</v>
      </c>
      <c r="R37" s="1">
        <f>50+30+80+80</f>
        <v>240</v>
      </c>
      <c r="S37" s="1">
        <f>30+30+30</f>
        <v>90</v>
      </c>
      <c r="T37" s="1">
        <f>70+30+50+70</f>
        <v>220</v>
      </c>
      <c r="U37" s="1"/>
      <c r="V37" s="1">
        <f>20</f>
        <v>20</v>
      </c>
      <c r="W37" s="1"/>
      <c r="X37" s="1"/>
      <c r="Y37" s="1"/>
      <c r="Z37" s="1"/>
      <c r="AA37" s="3">
        <f>217362+281631+256697+192666</f>
        <v>948356</v>
      </c>
      <c r="AB37" s="3">
        <f>41149+25998</f>
        <v>67147</v>
      </c>
      <c r="AC37" s="3">
        <f>177039+101944+214601+203845</f>
        <v>697429</v>
      </c>
      <c r="AD37" s="3">
        <f>18393</f>
        <v>18393</v>
      </c>
      <c r="AE37" s="3"/>
      <c r="AF37" s="4">
        <f t="shared" si="0"/>
        <v>1731325</v>
      </c>
    </row>
    <row r="38" spans="1:32" x14ac:dyDescent="0.25">
      <c r="A38" s="1">
        <v>32</v>
      </c>
      <c r="B38" s="2" t="s">
        <v>218</v>
      </c>
      <c r="C38" s="2" t="s">
        <v>219</v>
      </c>
      <c r="D38" s="2" t="s">
        <v>268</v>
      </c>
      <c r="E38" s="1">
        <v>450</v>
      </c>
      <c r="F38" s="1">
        <v>50</v>
      </c>
      <c r="G38" s="1"/>
      <c r="H38" s="1"/>
      <c r="I38" s="1">
        <v>30</v>
      </c>
      <c r="J38" s="1"/>
      <c r="K38" s="1">
        <v>35</v>
      </c>
      <c r="L38" s="1">
        <v>5</v>
      </c>
      <c r="M38" s="1">
        <v>35</v>
      </c>
      <c r="N38" s="1">
        <v>5</v>
      </c>
      <c r="O38" s="1">
        <v>30</v>
      </c>
      <c r="P38" s="1">
        <v>40</v>
      </c>
      <c r="Q38" s="1">
        <v>30</v>
      </c>
      <c r="R38" s="1">
        <v>40</v>
      </c>
      <c r="S38" s="1">
        <v>10</v>
      </c>
      <c r="T38" s="1">
        <v>40</v>
      </c>
      <c r="U38" s="1"/>
      <c r="V38" s="1"/>
      <c r="W38" s="1">
        <v>5</v>
      </c>
      <c r="X38" s="1">
        <v>5</v>
      </c>
      <c r="Y38" s="1">
        <v>5</v>
      </c>
      <c r="Z38" s="1">
        <v>5</v>
      </c>
      <c r="AA38" s="3">
        <v>163572</v>
      </c>
      <c r="AB38" s="3">
        <v>54148</v>
      </c>
      <c r="AC38" s="3">
        <v>101918</v>
      </c>
      <c r="AD38" s="3"/>
      <c r="AE38" s="3">
        <v>9289</v>
      </c>
      <c r="AF38" s="4">
        <f t="shared" si="0"/>
        <v>328927</v>
      </c>
    </row>
    <row r="39" spans="1:32" x14ac:dyDescent="0.25">
      <c r="A39" s="1">
        <v>33</v>
      </c>
      <c r="B39" s="2" t="s">
        <v>197</v>
      </c>
      <c r="C39" s="2" t="s">
        <v>198</v>
      </c>
      <c r="D39" s="2" t="s">
        <v>268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3"/>
      <c r="AB39" s="3"/>
      <c r="AC39" s="3"/>
      <c r="AD39" s="3"/>
      <c r="AE39" s="3"/>
      <c r="AF39" s="4">
        <f t="shared" si="0"/>
        <v>0</v>
      </c>
    </row>
    <row r="40" spans="1:32" x14ac:dyDescent="0.25">
      <c r="A40" s="1"/>
      <c r="B40" s="28" t="s">
        <v>206</v>
      </c>
      <c r="C40" s="28" t="s">
        <v>207</v>
      </c>
      <c r="D40" s="2" t="s">
        <v>268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3"/>
      <c r="AB40" s="3"/>
      <c r="AC40" s="3"/>
      <c r="AD40" s="3"/>
      <c r="AE40" s="3"/>
      <c r="AF40" s="4">
        <f t="shared" si="0"/>
        <v>0</v>
      </c>
    </row>
    <row r="41" spans="1:32" x14ac:dyDescent="0.25">
      <c r="A41" s="1">
        <v>34</v>
      </c>
      <c r="B41" s="5" t="s">
        <v>262</v>
      </c>
      <c r="C41" s="5" t="s">
        <v>207</v>
      </c>
      <c r="D41" s="2" t="s">
        <v>268</v>
      </c>
      <c r="E41" s="1">
        <v>500</v>
      </c>
      <c r="F41" s="1">
        <v>60</v>
      </c>
      <c r="G41" s="1"/>
      <c r="H41" s="1">
        <v>20</v>
      </c>
      <c r="I41" s="1">
        <v>50</v>
      </c>
      <c r="J41" s="1"/>
      <c r="K41" s="1"/>
      <c r="L41" s="1"/>
      <c r="M41" s="1"/>
      <c r="N41" s="1"/>
      <c r="O41" s="1">
        <v>15</v>
      </c>
      <c r="P41" s="1">
        <v>10</v>
      </c>
      <c r="Q41" s="1">
        <v>15</v>
      </c>
      <c r="R41" s="1">
        <v>10</v>
      </c>
      <c r="S41" s="1">
        <v>15</v>
      </c>
      <c r="T41" s="1">
        <v>10</v>
      </c>
      <c r="U41" s="1"/>
      <c r="V41" s="1"/>
      <c r="W41" s="1"/>
      <c r="X41" s="1"/>
      <c r="Y41" s="1"/>
      <c r="Z41" s="1"/>
      <c r="AA41" s="3">
        <f>209334</f>
        <v>209334</v>
      </c>
      <c r="AB41" s="3"/>
      <c r="AC41" s="3">
        <f>40245</f>
        <v>40245</v>
      </c>
      <c r="AD41" s="3"/>
      <c r="AE41" s="3"/>
      <c r="AF41" s="4">
        <f t="shared" si="0"/>
        <v>249579</v>
      </c>
    </row>
    <row r="42" spans="1:32" x14ac:dyDescent="0.25">
      <c r="A42" s="1">
        <v>35</v>
      </c>
      <c r="B42" s="2" t="s">
        <v>209</v>
      </c>
      <c r="C42" s="2" t="s">
        <v>208</v>
      </c>
      <c r="D42" s="2" t="s">
        <v>268</v>
      </c>
      <c r="E42" s="1">
        <v>150</v>
      </c>
      <c r="F42" s="1">
        <v>25</v>
      </c>
      <c r="G42" s="1"/>
      <c r="H42" s="1">
        <v>30</v>
      </c>
      <c r="I42" s="1"/>
      <c r="J42" s="1"/>
      <c r="K42" s="1">
        <v>3</v>
      </c>
      <c r="L42" s="1"/>
      <c r="M42" s="1">
        <v>3</v>
      </c>
      <c r="N42" s="1"/>
      <c r="O42" s="1">
        <v>10</v>
      </c>
      <c r="P42" s="1"/>
      <c r="Q42" s="1">
        <v>10</v>
      </c>
      <c r="R42" s="1"/>
      <c r="S42" s="1">
        <v>5</v>
      </c>
      <c r="T42" s="1">
        <v>5</v>
      </c>
      <c r="U42" s="1"/>
      <c r="V42" s="1"/>
      <c r="W42" s="1"/>
      <c r="X42" s="1"/>
      <c r="Y42" s="1"/>
      <c r="Z42" s="1"/>
      <c r="AA42" s="3">
        <v>67959</v>
      </c>
      <c r="AB42" s="3">
        <v>3900</v>
      </c>
      <c r="AC42" s="3">
        <v>16104</v>
      </c>
      <c r="AD42" s="3"/>
      <c r="AE42" s="3"/>
      <c r="AF42" s="4">
        <f t="shared" si="0"/>
        <v>87963</v>
      </c>
    </row>
    <row r="43" spans="1:32" x14ac:dyDescent="0.25">
      <c r="A43" s="1">
        <v>36</v>
      </c>
      <c r="B43" s="2" t="s">
        <v>216</v>
      </c>
      <c r="C43" s="2" t="s">
        <v>217</v>
      </c>
      <c r="D43" s="2" t="s">
        <v>268</v>
      </c>
      <c r="E43" s="1">
        <f>600</f>
        <v>600</v>
      </c>
      <c r="F43" s="1">
        <f>25</f>
        <v>25</v>
      </c>
      <c r="G43" s="1">
        <f>10+15</f>
        <v>25</v>
      </c>
      <c r="H43" s="1"/>
      <c r="I43" s="1"/>
      <c r="J43" s="1"/>
      <c r="K43" s="1"/>
      <c r="L43" s="1"/>
      <c r="M43" s="1"/>
      <c r="N43" s="1"/>
      <c r="O43" s="1">
        <f>20+40</f>
        <v>60</v>
      </c>
      <c r="P43" s="1">
        <f>50+17</f>
        <v>67</v>
      </c>
      <c r="Q43" s="1">
        <f>20+40</f>
        <v>60</v>
      </c>
      <c r="R43" s="1">
        <f>40+100</f>
        <v>140</v>
      </c>
      <c r="S43" s="1">
        <f>5</f>
        <v>5</v>
      </c>
      <c r="T43" s="1">
        <f>60+100</f>
        <v>160</v>
      </c>
      <c r="U43" s="1"/>
      <c r="V43" s="1"/>
      <c r="W43" s="1">
        <f>10</f>
        <v>10</v>
      </c>
      <c r="X43" s="1">
        <f>10</f>
        <v>10</v>
      </c>
      <c r="Y43" s="1">
        <f>5</f>
        <v>5</v>
      </c>
      <c r="Z43" s="1">
        <f>15</f>
        <v>15</v>
      </c>
      <c r="AA43" s="3">
        <f>159814+25101</f>
        <v>184915</v>
      </c>
      <c r="AB43" s="3"/>
      <c r="AC43" s="3">
        <f>104577+159289</f>
        <v>263866</v>
      </c>
      <c r="AD43" s="3"/>
      <c r="AE43" s="3">
        <v>17870</v>
      </c>
      <c r="AF43" s="4">
        <f t="shared" si="0"/>
        <v>466651</v>
      </c>
    </row>
    <row r="44" spans="1:32" x14ac:dyDescent="0.25">
      <c r="A44" s="1">
        <v>37</v>
      </c>
      <c r="B44" s="2" t="s">
        <v>221</v>
      </c>
      <c r="C44" s="2" t="s">
        <v>222</v>
      </c>
      <c r="D44" s="2" t="s">
        <v>268</v>
      </c>
      <c r="E44" s="1"/>
      <c r="F44" s="1">
        <f>50</f>
        <v>50</v>
      </c>
      <c r="G44" s="1">
        <f>100</f>
        <v>100</v>
      </c>
      <c r="H44" s="1"/>
      <c r="I44" s="1">
        <f>50</f>
        <v>50</v>
      </c>
      <c r="J44" s="1"/>
      <c r="K44" s="1">
        <f>47</f>
        <v>47</v>
      </c>
      <c r="L44" s="1">
        <f>20</f>
        <v>20</v>
      </c>
      <c r="M44" s="1">
        <f>11</f>
        <v>11</v>
      </c>
      <c r="N44" s="1">
        <f>30</f>
        <v>30</v>
      </c>
      <c r="O44" s="1">
        <f>200</f>
        <v>200</v>
      </c>
      <c r="P44" s="1">
        <f>100</f>
        <v>100</v>
      </c>
      <c r="Q44" s="1">
        <f>150</f>
        <v>150</v>
      </c>
      <c r="R44" s="1">
        <f>50</f>
        <v>50</v>
      </c>
      <c r="S44" s="1">
        <f>100</f>
        <v>100</v>
      </c>
      <c r="T44" s="1">
        <f>75</f>
        <v>75</v>
      </c>
      <c r="U44" s="1"/>
      <c r="V44" s="1"/>
      <c r="W44" s="1"/>
      <c r="X44" s="1"/>
      <c r="Y44" s="1"/>
      <c r="Z44" s="1"/>
      <c r="AA44" s="3">
        <f>149505</f>
        <v>149505</v>
      </c>
      <c r="AB44" s="3">
        <f>80956</f>
        <v>80956</v>
      </c>
      <c r="AC44" s="3">
        <f>373718</f>
        <v>373718</v>
      </c>
      <c r="AD44" s="3"/>
      <c r="AE44" s="3"/>
      <c r="AF44" s="4">
        <f t="shared" si="0"/>
        <v>604179</v>
      </c>
    </row>
    <row r="45" spans="1:32" x14ac:dyDescent="0.25">
      <c r="A45" s="1">
        <v>38</v>
      </c>
      <c r="B45" s="2" t="s">
        <v>231</v>
      </c>
      <c r="C45" s="2" t="s">
        <v>232</v>
      </c>
      <c r="D45" s="2" t="s">
        <v>268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"/>
      <c r="AB45" s="3"/>
      <c r="AC45" s="3"/>
      <c r="AD45" s="3"/>
      <c r="AE45" s="3"/>
      <c r="AF45" s="4">
        <f t="shared" si="0"/>
        <v>0</v>
      </c>
    </row>
    <row r="46" spans="1:32" x14ac:dyDescent="0.25">
      <c r="A46" s="1">
        <v>39</v>
      </c>
      <c r="B46" s="2" t="s">
        <v>248</v>
      </c>
      <c r="C46" s="2" t="s">
        <v>249</v>
      </c>
      <c r="D46" s="2" t="s">
        <v>268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"/>
      <c r="AB46" s="3"/>
      <c r="AC46" s="3"/>
      <c r="AD46" s="3"/>
      <c r="AE46" s="3"/>
      <c r="AF46" s="4">
        <f t="shared" si="0"/>
        <v>0</v>
      </c>
    </row>
    <row r="47" spans="1:32" x14ac:dyDescent="0.25">
      <c r="A47" s="1">
        <v>40</v>
      </c>
      <c r="B47" s="2" t="s">
        <v>279</v>
      </c>
      <c r="C47" s="2" t="s">
        <v>280</v>
      </c>
      <c r="D47" s="2" t="s">
        <v>268</v>
      </c>
      <c r="E47" s="1">
        <v>400</v>
      </c>
      <c r="F47" s="1">
        <v>150</v>
      </c>
      <c r="G47" s="1">
        <v>10</v>
      </c>
      <c r="H47" s="1">
        <v>10</v>
      </c>
      <c r="I47" s="1">
        <v>10</v>
      </c>
      <c r="J47" s="1"/>
      <c r="K47" s="1">
        <v>10</v>
      </c>
      <c r="L47" s="1">
        <v>5</v>
      </c>
      <c r="M47" s="1">
        <v>10</v>
      </c>
      <c r="N47" s="1">
        <v>5</v>
      </c>
      <c r="O47" s="1">
        <v>15</v>
      </c>
      <c r="P47" s="1">
        <v>10</v>
      </c>
      <c r="Q47" s="1">
        <v>15</v>
      </c>
      <c r="R47" s="1">
        <v>10</v>
      </c>
      <c r="S47" s="1"/>
      <c r="T47" s="1">
        <v>10</v>
      </c>
      <c r="U47" s="1"/>
      <c r="V47" s="1"/>
      <c r="W47" s="1"/>
      <c r="X47" s="1"/>
      <c r="Y47" s="1"/>
      <c r="Z47" s="1"/>
      <c r="AA47" s="3">
        <v>199162</v>
      </c>
      <c r="AB47" s="3">
        <v>21651</v>
      </c>
      <c r="AC47" s="3">
        <v>32191</v>
      </c>
      <c r="AD47" s="3"/>
      <c r="AE47" s="3"/>
      <c r="AF47" s="4">
        <f t="shared" si="0"/>
        <v>253004</v>
      </c>
    </row>
    <row r="48" spans="1:32" x14ac:dyDescent="0.25">
      <c r="A48" s="1">
        <v>41</v>
      </c>
      <c r="B48" s="2" t="s">
        <v>286</v>
      </c>
      <c r="C48" s="2" t="s">
        <v>287</v>
      </c>
      <c r="D48" s="2" t="s">
        <v>268</v>
      </c>
      <c r="E48" s="1">
        <v>800</v>
      </c>
      <c r="F48" s="1">
        <v>60</v>
      </c>
      <c r="G48" s="1">
        <v>10</v>
      </c>
      <c r="H48" s="1"/>
      <c r="I48" s="1">
        <v>40</v>
      </c>
      <c r="J48" s="1"/>
      <c r="K48" s="1"/>
      <c r="L48" s="1"/>
      <c r="M48" s="1">
        <v>5</v>
      </c>
      <c r="N48" s="1"/>
      <c r="O48" s="1"/>
      <c r="P48" s="1">
        <v>10</v>
      </c>
      <c r="Q48" s="1"/>
      <c r="R48" s="1">
        <v>10</v>
      </c>
      <c r="S48" s="1"/>
      <c r="T48" s="1">
        <v>10</v>
      </c>
      <c r="U48" s="1"/>
      <c r="V48" s="1">
        <v>5</v>
      </c>
      <c r="W48" s="1"/>
      <c r="X48" s="1"/>
      <c r="Y48" s="1"/>
      <c r="Z48" s="1"/>
      <c r="AA48" s="3">
        <v>273539</v>
      </c>
      <c r="AB48" s="3">
        <v>3249</v>
      </c>
      <c r="AC48" s="3">
        <v>16083</v>
      </c>
      <c r="AD48" s="3">
        <v>4599</v>
      </c>
      <c r="AE48" s="3"/>
      <c r="AF48" s="4">
        <f t="shared" si="0"/>
        <v>297470</v>
      </c>
    </row>
    <row r="49" spans="1:32" x14ac:dyDescent="0.25">
      <c r="A49" s="1">
        <v>42</v>
      </c>
      <c r="B49" s="34" t="s">
        <v>251</v>
      </c>
      <c r="C49" s="34" t="s">
        <v>163</v>
      </c>
      <c r="D49" s="34" t="s">
        <v>269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"/>
      <c r="AB49" s="3"/>
      <c r="AC49" s="3"/>
      <c r="AD49" s="3"/>
      <c r="AE49" s="3"/>
      <c r="AF49" s="4">
        <f t="shared" si="0"/>
        <v>0</v>
      </c>
    </row>
    <row r="50" spans="1:32" x14ac:dyDescent="0.25">
      <c r="A50" s="1">
        <v>43</v>
      </c>
      <c r="B50" s="2" t="s">
        <v>188</v>
      </c>
      <c r="C50" s="2" t="s">
        <v>189</v>
      </c>
      <c r="D50" s="34" t="s">
        <v>269</v>
      </c>
      <c r="E50" s="1">
        <f>450</f>
        <v>450</v>
      </c>
      <c r="F50" s="1">
        <f>120</f>
        <v>120</v>
      </c>
      <c r="G50" s="1">
        <f>50</f>
        <v>50</v>
      </c>
      <c r="H50" s="1"/>
      <c r="I50" s="1"/>
      <c r="J50" s="1"/>
      <c r="K50" s="1">
        <f>10</f>
        <v>10</v>
      </c>
      <c r="L50" s="1"/>
      <c r="M50" s="1">
        <f>10</f>
        <v>10</v>
      </c>
      <c r="N50" s="1"/>
      <c r="O50" s="1">
        <f>30</f>
        <v>30</v>
      </c>
      <c r="P50" s="1"/>
      <c r="Q50" s="1">
        <f>30</f>
        <v>30</v>
      </c>
      <c r="R50" s="1">
        <f>5</f>
        <v>5</v>
      </c>
      <c r="S50" s="1">
        <f>20</f>
        <v>20</v>
      </c>
      <c r="T50" s="1">
        <f>5</f>
        <v>5</v>
      </c>
      <c r="U50" s="1"/>
      <c r="V50" s="1"/>
      <c r="W50" s="1">
        <f>10</f>
        <v>10</v>
      </c>
      <c r="X50" s="1">
        <f>10</f>
        <v>10</v>
      </c>
      <c r="Y50" s="1">
        <f>10</f>
        <v>10</v>
      </c>
      <c r="Z50" s="1">
        <f>10</f>
        <v>10</v>
      </c>
      <c r="AA50" s="3">
        <f>219942</f>
        <v>219942</v>
      </c>
      <c r="AB50" s="3">
        <f>13212</f>
        <v>13212</v>
      </c>
      <c r="AC50" s="3">
        <f>48316</f>
        <v>48316</v>
      </c>
      <c r="AD50" s="3"/>
      <c r="AE50" s="3">
        <f>17870</f>
        <v>17870</v>
      </c>
      <c r="AF50" s="4">
        <f t="shared" si="0"/>
        <v>299340</v>
      </c>
    </row>
    <row r="51" spans="1:32" x14ac:dyDescent="0.25">
      <c r="A51" s="1">
        <v>44</v>
      </c>
      <c r="B51" s="2" t="s">
        <v>259</v>
      </c>
      <c r="C51" s="2" t="s">
        <v>260</v>
      </c>
      <c r="D51" s="34" t="s">
        <v>269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"/>
      <c r="AB51" s="3"/>
      <c r="AC51" s="3"/>
      <c r="AD51" s="3"/>
      <c r="AE51" s="3"/>
      <c r="AF51" s="4">
        <f t="shared" si="0"/>
        <v>0</v>
      </c>
    </row>
    <row r="52" spans="1:32" x14ac:dyDescent="0.25">
      <c r="A52" s="1">
        <v>45</v>
      </c>
      <c r="B52" s="2" t="s">
        <v>236</v>
      </c>
      <c r="C52" s="2" t="s">
        <v>237</v>
      </c>
      <c r="D52" s="2" t="s">
        <v>270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"/>
      <c r="AB52" s="3"/>
      <c r="AC52" s="3"/>
      <c r="AD52" s="3"/>
      <c r="AE52" s="3"/>
      <c r="AF52" s="4">
        <f t="shared" si="0"/>
        <v>0</v>
      </c>
    </row>
    <row r="53" spans="1:32" x14ac:dyDescent="0.25">
      <c r="A53" s="1">
        <v>46</v>
      </c>
      <c r="B53" s="2" t="s">
        <v>282</v>
      </c>
      <c r="C53" s="2" t="s">
        <v>283</v>
      </c>
      <c r="D53" s="2" t="s">
        <v>270</v>
      </c>
      <c r="E53" s="1"/>
      <c r="F53" s="1">
        <v>142</v>
      </c>
      <c r="G53" s="1">
        <v>10</v>
      </c>
      <c r="H53" s="1">
        <v>10</v>
      </c>
      <c r="I53" s="1">
        <v>30</v>
      </c>
      <c r="J53" s="1"/>
      <c r="K53" s="1"/>
      <c r="L53" s="1">
        <v>52</v>
      </c>
      <c r="M53" s="1">
        <v>16</v>
      </c>
      <c r="N53" s="1">
        <v>24</v>
      </c>
      <c r="O53" s="1">
        <v>200</v>
      </c>
      <c r="P53" s="1">
        <v>50</v>
      </c>
      <c r="Q53" s="1">
        <v>150</v>
      </c>
      <c r="R53" s="1">
        <v>40</v>
      </c>
      <c r="S53" s="1">
        <v>75</v>
      </c>
      <c r="T53" s="1">
        <v>40</v>
      </c>
      <c r="U53" s="1">
        <v>75</v>
      </c>
      <c r="V53" s="1">
        <v>71</v>
      </c>
      <c r="W53" s="1"/>
      <c r="X53" s="1"/>
      <c r="Y53" s="1"/>
      <c r="Z53" s="1"/>
      <c r="AA53" s="3">
        <v>116442</v>
      </c>
      <c r="AB53" s="3">
        <v>80247</v>
      </c>
      <c r="AC53" s="3">
        <v>334955</v>
      </c>
      <c r="AD53" s="3">
        <v>64644</v>
      </c>
      <c r="AE53" s="3"/>
      <c r="AF53" s="4">
        <f t="shared" si="0"/>
        <v>596288</v>
      </c>
    </row>
    <row r="54" spans="1:32" x14ac:dyDescent="0.25">
      <c r="A54" s="1">
        <v>47</v>
      </c>
      <c r="B54" s="2" t="s">
        <v>177</v>
      </c>
      <c r="C54" s="2" t="s">
        <v>84</v>
      </c>
      <c r="D54" s="2" t="s">
        <v>271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"/>
      <c r="AB54" s="3"/>
      <c r="AC54" s="3"/>
      <c r="AD54" s="3"/>
      <c r="AE54" s="3"/>
      <c r="AF54" s="4">
        <f t="shared" si="0"/>
        <v>0</v>
      </c>
    </row>
    <row r="55" spans="1:32" x14ac:dyDescent="0.25">
      <c r="A55" s="1">
        <v>48</v>
      </c>
      <c r="B55" s="2" t="s">
        <v>213</v>
      </c>
      <c r="C55" s="2" t="s">
        <v>84</v>
      </c>
      <c r="D55" s="2" t="s">
        <v>271</v>
      </c>
      <c r="E55" s="1">
        <f>700</f>
        <v>700</v>
      </c>
      <c r="F55" s="1">
        <f>700</f>
        <v>700</v>
      </c>
      <c r="G55" s="1"/>
      <c r="H55" s="1"/>
      <c r="I55" s="1"/>
      <c r="J55" s="1"/>
      <c r="K55" s="1"/>
      <c r="L55" s="1"/>
      <c r="M55" s="1"/>
      <c r="N55" s="1"/>
      <c r="O55" s="1">
        <f>180</f>
        <v>180</v>
      </c>
      <c r="P55" s="1">
        <f>50</f>
        <v>50</v>
      </c>
      <c r="Q55" s="1">
        <f>80</f>
        <v>80</v>
      </c>
      <c r="R55" s="1">
        <f>50</f>
        <v>50</v>
      </c>
      <c r="S55" s="1">
        <f>80</f>
        <v>80</v>
      </c>
      <c r="T55" s="1">
        <f>50</f>
        <v>50</v>
      </c>
      <c r="U55" s="1"/>
      <c r="V55" s="1">
        <f>150</f>
        <v>150</v>
      </c>
      <c r="W55" s="1"/>
      <c r="X55" s="1"/>
      <c r="Y55" s="1"/>
      <c r="Z55" s="1"/>
      <c r="AA55" s="3">
        <f>632394</f>
        <v>632394</v>
      </c>
      <c r="AB55" s="3"/>
      <c r="AC55" s="3">
        <f>269765</f>
        <v>269765</v>
      </c>
      <c r="AD55" s="3">
        <f>138910</f>
        <v>138910</v>
      </c>
      <c r="AE55" s="3"/>
      <c r="AF55" s="4">
        <f t="shared" si="0"/>
        <v>1041069</v>
      </c>
    </row>
    <row r="56" spans="1:32" x14ac:dyDescent="0.25">
      <c r="A56" s="1">
        <v>49</v>
      </c>
      <c r="B56" s="2" t="s">
        <v>85</v>
      </c>
      <c r="C56" s="2" t="s">
        <v>86</v>
      </c>
      <c r="D56" s="2" t="s">
        <v>271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"/>
      <c r="AB56" s="3"/>
      <c r="AC56" s="3"/>
      <c r="AD56" s="3"/>
      <c r="AE56" s="3"/>
      <c r="AF56" s="4">
        <f t="shared" si="0"/>
        <v>0</v>
      </c>
    </row>
    <row r="57" spans="1:32" x14ac:dyDescent="0.25">
      <c r="A57" s="1"/>
      <c r="B57" s="28" t="s">
        <v>87</v>
      </c>
      <c r="C57" s="28" t="s">
        <v>88</v>
      </c>
      <c r="D57" s="2" t="s">
        <v>271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"/>
      <c r="AB57" s="3"/>
      <c r="AC57" s="3"/>
      <c r="AD57" s="3"/>
      <c r="AE57" s="3"/>
      <c r="AF57" s="4">
        <f t="shared" si="0"/>
        <v>0</v>
      </c>
    </row>
    <row r="58" spans="1:32" x14ac:dyDescent="0.25">
      <c r="A58" s="1">
        <v>50</v>
      </c>
      <c r="B58" s="2" t="s">
        <v>89</v>
      </c>
      <c r="C58" s="2" t="s">
        <v>90</v>
      </c>
      <c r="D58" s="2" t="s">
        <v>271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3"/>
      <c r="AB58" s="3"/>
      <c r="AC58" s="3"/>
      <c r="AD58" s="3"/>
      <c r="AE58" s="3"/>
      <c r="AF58" s="4">
        <f t="shared" si="0"/>
        <v>0</v>
      </c>
    </row>
    <row r="59" spans="1:32" x14ac:dyDescent="0.25">
      <c r="A59" s="1">
        <v>51</v>
      </c>
      <c r="B59" s="2" t="s">
        <v>91</v>
      </c>
      <c r="C59" s="2" t="s">
        <v>92</v>
      </c>
      <c r="D59" s="2" t="s">
        <v>271</v>
      </c>
      <c r="E59" s="1">
        <v>130</v>
      </c>
      <c r="F59" s="1">
        <v>500</v>
      </c>
      <c r="G59" s="1">
        <v>25</v>
      </c>
      <c r="H59" s="1"/>
      <c r="I59" s="1">
        <v>25</v>
      </c>
      <c r="J59" s="1"/>
      <c r="K59" s="1"/>
      <c r="L59" s="1"/>
      <c r="M59" s="1"/>
      <c r="N59" s="1"/>
      <c r="O59" s="1">
        <v>30</v>
      </c>
      <c r="P59" s="1">
        <v>10</v>
      </c>
      <c r="Q59" s="1">
        <v>20</v>
      </c>
      <c r="R59" s="1">
        <v>5</v>
      </c>
      <c r="S59" s="1">
        <v>10</v>
      </c>
      <c r="T59" s="1">
        <v>5</v>
      </c>
      <c r="U59" s="1"/>
      <c r="V59" s="1">
        <v>50</v>
      </c>
      <c r="W59" s="1"/>
      <c r="X59" s="1"/>
      <c r="Y59" s="1"/>
      <c r="Z59" s="1"/>
      <c r="AA59" s="3">
        <v>385848</v>
      </c>
      <c r="AB59" s="3"/>
      <c r="AC59" s="3">
        <v>44043</v>
      </c>
      <c r="AD59" s="3">
        <v>46764</v>
      </c>
      <c r="AE59" s="3"/>
      <c r="AF59" s="4">
        <f t="shared" si="0"/>
        <v>476655</v>
      </c>
    </row>
    <row r="60" spans="1:32" x14ac:dyDescent="0.25">
      <c r="A60" s="1">
        <v>52</v>
      </c>
      <c r="B60" s="2" t="s">
        <v>93</v>
      </c>
      <c r="C60" s="2" t="s">
        <v>94</v>
      </c>
      <c r="D60" s="2" t="s">
        <v>271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3"/>
      <c r="AB60" s="3"/>
      <c r="AC60" s="3"/>
      <c r="AD60" s="3"/>
      <c r="AE60" s="3"/>
      <c r="AF60" s="4">
        <f t="shared" si="0"/>
        <v>0</v>
      </c>
    </row>
    <row r="61" spans="1:32" x14ac:dyDescent="0.25">
      <c r="A61" s="1">
        <v>53</v>
      </c>
      <c r="B61" s="2" t="s">
        <v>95</v>
      </c>
      <c r="C61" s="2" t="s">
        <v>96</v>
      </c>
      <c r="D61" s="2" t="s">
        <v>271</v>
      </c>
      <c r="E61" s="1">
        <f>350</f>
        <v>350</v>
      </c>
      <c r="F61" s="1">
        <f>450</f>
        <v>450</v>
      </c>
      <c r="G61" s="1"/>
      <c r="H61" s="1"/>
      <c r="I61" s="1"/>
      <c r="J61" s="1"/>
      <c r="K61" s="1"/>
      <c r="L61" s="1"/>
      <c r="M61" s="1"/>
      <c r="N61" s="1"/>
      <c r="O61" s="1">
        <f>30</f>
        <v>30</v>
      </c>
      <c r="P61" s="1">
        <f>5</f>
        <v>5</v>
      </c>
      <c r="Q61" s="1">
        <f>30</f>
        <v>30</v>
      </c>
      <c r="R61" s="1">
        <f>5</f>
        <v>5</v>
      </c>
      <c r="S61" s="1">
        <f>30</f>
        <v>30</v>
      </c>
      <c r="T61" s="1">
        <f>5</f>
        <v>5</v>
      </c>
      <c r="U61" s="1"/>
      <c r="V61" s="1"/>
      <c r="W61" s="1"/>
      <c r="X61" s="1"/>
      <c r="Y61" s="1"/>
      <c r="Z61" s="1"/>
      <c r="AA61" s="3">
        <f>370403</f>
        <v>370403</v>
      </c>
      <c r="AB61" s="3"/>
      <c r="AC61" s="3">
        <f>57959</f>
        <v>57959</v>
      </c>
      <c r="AD61" s="3"/>
      <c r="AE61" s="3"/>
      <c r="AF61" s="4">
        <f t="shared" si="0"/>
        <v>428362</v>
      </c>
    </row>
    <row r="62" spans="1:32" x14ac:dyDescent="0.25">
      <c r="A62" s="1">
        <v>54</v>
      </c>
      <c r="B62" s="2" t="s">
        <v>97</v>
      </c>
      <c r="C62" s="2" t="s">
        <v>98</v>
      </c>
      <c r="D62" s="2" t="s">
        <v>271</v>
      </c>
      <c r="E62" s="1">
        <v>300</v>
      </c>
      <c r="F62" s="1">
        <v>100</v>
      </c>
      <c r="G62" s="1">
        <v>10</v>
      </c>
      <c r="H62" s="1"/>
      <c r="I62" s="1">
        <v>20</v>
      </c>
      <c r="J62" s="1">
        <v>10</v>
      </c>
      <c r="K62" s="1"/>
      <c r="L62" s="1"/>
      <c r="M62" s="1"/>
      <c r="N62" s="1"/>
      <c r="O62" s="1">
        <v>100</v>
      </c>
      <c r="P62" s="1">
        <v>10</v>
      </c>
      <c r="Q62" s="1">
        <v>100</v>
      </c>
      <c r="R62" s="1">
        <v>10</v>
      </c>
      <c r="S62" s="1">
        <v>50</v>
      </c>
      <c r="T62" s="1">
        <v>10</v>
      </c>
      <c r="U62" s="1"/>
      <c r="V62" s="1">
        <v>100</v>
      </c>
      <c r="W62" s="1"/>
      <c r="X62" s="1"/>
      <c r="Y62" s="1"/>
      <c r="Z62" s="1"/>
      <c r="AA62" s="3">
        <v>251190</v>
      </c>
      <c r="AB62" s="3"/>
      <c r="AC62" s="3">
        <v>154152</v>
      </c>
      <c r="AD62" s="3">
        <v>92606</v>
      </c>
      <c r="AE62" s="3"/>
      <c r="AF62" s="4">
        <f t="shared" si="0"/>
        <v>497948</v>
      </c>
    </row>
    <row r="63" spans="1:32" x14ac:dyDescent="0.25">
      <c r="A63" s="1">
        <v>55</v>
      </c>
      <c r="B63" s="2" t="s">
        <v>99</v>
      </c>
      <c r="C63" s="2" t="s">
        <v>100</v>
      </c>
      <c r="D63" s="2" t="s">
        <v>271</v>
      </c>
      <c r="E63" s="1">
        <v>500</v>
      </c>
      <c r="F63" s="1">
        <v>1600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>
        <v>12</v>
      </c>
      <c r="W63" s="1"/>
      <c r="X63" s="1"/>
      <c r="Y63" s="1"/>
      <c r="Z63" s="1"/>
      <c r="AA63" s="3">
        <v>1047967</v>
      </c>
      <c r="AB63" s="3"/>
      <c r="AC63" s="3"/>
      <c r="AD63" s="3">
        <v>11037</v>
      </c>
      <c r="AE63" s="3"/>
      <c r="AF63" s="4">
        <f t="shared" si="0"/>
        <v>1059004</v>
      </c>
    </row>
    <row r="64" spans="1:32" x14ac:dyDescent="0.25">
      <c r="A64" s="1">
        <v>56</v>
      </c>
      <c r="B64" s="2" t="s">
        <v>101</v>
      </c>
      <c r="C64" s="2" t="s">
        <v>102</v>
      </c>
      <c r="D64" s="2" t="s">
        <v>271</v>
      </c>
      <c r="E64" s="1">
        <v>600</v>
      </c>
      <c r="F64" s="1">
        <v>244</v>
      </c>
      <c r="G64" s="1"/>
      <c r="H64" s="1"/>
      <c r="I64" s="1"/>
      <c r="J64" s="1">
        <v>25</v>
      </c>
      <c r="K64" s="1"/>
      <c r="L64" s="1"/>
      <c r="M64" s="1"/>
      <c r="N64" s="1"/>
      <c r="O64" s="1">
        <v>20</v>
      </c>
      <c r="P64" s="1"/>
      <c r="Q64" s="1">
        <v>20</v>
      </c>
      <c r="R64" s="1">
        <v>10</v>
      </c>
      <c r="S64" s="1">
        <v>20</v>
      </c>
      <c r="T64" s="1">
        <v>10</v>
      </c>
      <c r="U64" s="1"/>
      <c r="V64" s="1">
        <v>50</v>
      </c>
      <c r="W64" s="1"/>
      <c r="X64" s="1"/>
      <c r="Y64" s="1"/>
      <c r="Z64" s="1"/>
      <c r="AA64" s="3">
        <v>368583</v>
      </c>
      <c r="AB64" s="3"/>
      <c r="AC64" s="3">
        <v>44043</v>
      </c>
      <c r="AD64" s="3">
        <v>45525</v>
      </c>
      <c r="AE64" s="3"/>
      <c r="AF64" s="4">
        <f t="shared" si="0"/>
        <v>458151</v>
      </c>
    </row>
    <row r="65" spans="1:32" x14ac:dyDescent="0.25">
      <c r="A65" s="1">
        <v>57</v>
      </c>
      <c r="B65" s="2" t="s">
        <v>103</v>
      </c>
      <c r="C65" s="2" t="s">
        <v>104</v>
      </c>
      <c r="D65" s="2" t="s">
        <v>271</v>
      </c>
      <c r="E65" s="1">
        <f>400</f>
        <v>400</v>
      </c>
      <c r="F65" s="1">
        <f>350</f>
        <v>350</v>
      </c>
      <c r="G65" s="1"/>
      <c r="H65" s="1"/>
      <c r="I65" s="1"/>
      <c r="J65" s="1">
        <f>20</f>
        <v>20</v>
      </c>
      <c r="K65" s="1"/>
      <c r="L65" s="1"/>
      <c r="M65" s="1"/>
      <c r="N65" s="1"/>
      <c r="O65" s="1">
        <f>20</f>
        <v>20</v>
      </c>
      <c r="P65" s="1"/>
      <c r="Q65" s="1">
        <f>20</f>
        <v>20</v>
      </c>
      <c r="R65" s="1"/>
      <c r="S65" s="1">
        <f>20</f>
        <v>20</v>
      </c>
      <c r="T65" s="1"/>
      <c r="U65" s="1"/>
      <c r="V65" s="1"/>
      <c r="W65" s="1"/>
      <c r="X65" s="1"/>
      <c r="Y65" s="1"/>
      <c r="Z65" s="1"/>
      <c r="AA65" s="3">
        <f>422141</f>
        <v>422141</v>
      </c>
      <c r="AB65" s="3"/>
      <c r="AC65" s="3">
        <f>33134</f>
        <v>33134</v>
      </c>
      <c r="AD65" s="3"/>
      <c r="AE65" s="3"/>
      <c r="AF65" s="4">
        <f t="shared" si="0"/>
        <v>455275</v>
      </c>
    </row>
    <row r="66" spans="1:32" x14ac:dyDescent="0.25">
      <c r="A66" s="1">
        <v>58</v>
      </c>
      <c r="B66" s="2" t="s">
        <v>201</v>
      </c>
      <c r="C66" s="2" t="s">
        <v>202</v>
      </c>
      <c r="D66" s="2" t="s">
        <v>271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3"/>
      <c r="AB66" s="3"/>
      <c r="AC66" s="3"/>
      <c r="AD66" s="3"/>
      <c r="AE66" s="3"/>
      <c r="AF66" s="4">
        <f t="shared" si="0"/>
        <v>0</v>
      </c>
    </row>
    <row r="67" spans="1:32" x14ac:dyDescent="0.25">
      <c r="A67" s="1">
        <v>59</v>
      </c>
      <c r="B67" s="2" t="s">
        <v>169</v>
      </c>
      <c r="C67" s="2" t="s">
        <v>170</v>
      </c>
      <c r="D67" s="2" t="s">
        <v>271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3"/>
      <c r="AB67" s="3"/>
      <c r="AC67" s="3"/>
      <c r="AD67" s="3"/>
      <c r="AE67" s="3"/>
      <c r="AF67" s="4">
        <f t="shared" si="0"/>
        <v>0</v>
      </c>
    </row>
    <row r="68" spans="1:32" x14ac:dyDescent="0.25">
      <c r="A68" s="1">
        <v>60</v>
      </c>
      <c r="B68" s="2" t="s">
        <v>284</v>
      </c>
      <c r="C68" s="2" t="s">
        <v>285</v>
      </c>
      <c r="D68" s="2" t="s">
        <v>271</v>
      </c>
      <c r="E68" s="1">
        <v>400</v>
      </c>
      <c r="F68" s="1">
        <v>200</v>
      </c>
      <c r="G68" s="1"/>
      <c r="H68" s="1"/>
      <c r="I68" s="1"/>
      <c r="J68" s="1"/>
      <c r="K68" s="1"/>
      <c r="L68" s="1"/>
      <c r="M68" s="1"/>
      <c r="N68" s="1"/>
      <c r="O68" s="1">
        <v>50</v>
      </c>
      <c r="P68" s="1"/>
      <c r="Q68" s="1">
        <v>50</v>
      </c>
      <c r="R68" s="1"/>
      <c r="S68" s="1"/>
      <c r="T68" s="1"/>
      <c r="U68" s="1"/>
      <c r="V68" s="1">
        <v>250</v>
      </c>
      <c r="W68" s="1"/>
      <c r="X68" s="1"/>
      <c r="Y68" s="1"/>
      <c r="Z68" s="1"/>
      <c r="AA68" s="3">
        <v>325231</v>
      </c>
      <c r="AB68" s="3"/>
      <c r="AC68" s="3">
        <v>55054</v>
      </c>
      <c r="AD68" s="3">
        <v>225498</v>
      </c>
      <c r="AE68" s="3"/>
      <c r="AF68" s="4">
        <f t="shared" si="0"/>
        <v>605783</v>
      </c>
    </row>
    <row r="69" spans="1:32" x14ac:dyDescent="0.25">
      <c r="A69" s="1">
        <v>61</v>
      </c>
      <c r="B69" s="2" t="s">
        <v>105</v>
      </c>
      <c r="C69" s="2" t="s">
        <v>106</v>
      </c>
      <c r="D69" s="2" t="s">
        <v>272</v>
      </c>
      <c r="E69" s="1">
        <v>300</v>
      </c>
      <c r="F69" s="1"/>
      <c r="G69" s="1"/>
      <c r="H69" s="1"/>
      <c r="I69" s="1">
        <v>60</v>
      </c>
      <c r="J69" s="1"/>
      <c r="K69" s="1"/>
      <c r="L69" s="1"/>
      <c r="M69" s="1"/>
      <c r="N69" s="1"/>
      <c r="O69" s="1">
        <v>500</v>
      </c>
      <c r="P69" s="1">
        <v>100</v>
      </c>
      <c r="Q69" s="1">
        <v>250</v>
      </c>
      <c r="R69" s="1">
        <v>50</v>
      </c>
      <c r="S69" s="1"/>
      <c r="T69" s="1">
        <v>50</v>
      </c>
      <c r="U69" s="1"/>
      <c r="V69" s="1">
        <v>350</v>
      </c>
      <c r="W69" s="1"/>
      <c r="X69" s="1"/>
      <c r="Y69" s="1"/>
      <c r="Z69" s="1"/>
      <c r="AA69" s="3">
        <v>215573</v>
      </c>
      <c r="AB69" s="3"/>
      <c r="AC69" s="3">
        <v>523014</v>
      </c>
      <c r="AD69" s="3">
        <v>315697</v>
      </c>
      <c r="AE69" s="3"/>
      <c r="AF69" s="4">
        <f t="shared" si="0"/>
        <v>1054284</v>
      </c>
    </row>
    <row r="70" spans="1:32" x14ac:dyDescent="0.25">
      <c r="A70" s="1"/>
      <c r="B70" s="28" t="s">
        <v>107</v>
      </c>
      <c r="C70" s="28" t="s">
        <v>108</v>
      </c>
      <c r="D70" s="2" t="s">
        <v>273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3"/>
      <c r="AB70" s="3"/>
      <c r="AC70" s="3"/>
      <c r="AD70" s="3"/>
      <c r="AE70" s="3"/>
      <c r="AF70" s="4">
        <f t="shared" si="0"/>
        <v>0</v>
      </c>
    </row>
    <row r="71" spans="1:32" x14ac:dyDescent="0.25">
      <c r="A71" s="1">
        <v>62</v>
      </c>
      <c r="B71" s="2" t="s">
        <v>109</v>
      </c>
      <c r="C71" s="2" t="s">
        <v>275</v>
      </c>
      <c r="D71" s="2" t="s">
        <v>273</v>
      </c>
      <c r="E71" s="1">
        <v>600</v>
      </c>
      <c r="F71" s="1">
        <v>20</v>
      </c>
      <c r="G71" s="1"/>
      <c r="H71" s="1"/>
      <c r="I71" s="1">
        <v>5</v>
      </c>
      <c r="J71" s="1"/>
      <c r="K71" s="1"/>
      <c r="L71" s="1"/>
      <c r="M71" s="1"/>
      <c r="N71" s="1"/>
      <c r="O71" s="1">
        <v>40</v>
      </c>
      <c r="P71" s="1">
        <v>80</v>
      </c>
      <c r="Q71" s="1">
        <v>50</v>
      </c>
      <c r="R71" s="1">
        <v>80</v>
      </c>
      <c r="S71" s="1">
        <v>10</v>
      </c>
      <c r="T71" s="1">
        <v>50</v>
      </c>
      <c r="U71" s="1">
        <v>39</v>
      </c>
      <c r="V71" s="1">
        <v>25</v>
      </c>
      <c r="W71" s="1">
        <v>30</v>
      </c>
      <c r="X71" s="1">
        <v>32</v>
      </c>
      <c r="Y71" s="1">
        <v>20</v>
      </c>
      <c r="Z71" s="1">
        <v>70</v>
      </c>
      <c r="AA71" s="33">
        <v>165723</v>
      </c>
      <c r="AB71" s="3"/>
      <c r="AC71" s="3">
        <v>187216</v>
      </c>
      <c r="AD71" s="3">
        <v>22993</v>
      </c>
      <c r="AE71" s="3">
        <v>67905</v>
      </c>
      <c r="AF71" s="4">
        <f t="shared" si="0"/>
        <v>443837</v>
      </c>
    </row>
    <row r="72" spans="1:32" x14ac:dyDescent="0.25">
      <c r="A72" s="1">
        <v>63</v>
      </c>
      <c r="B72" s="2" t="s">
        <v>179</v>
      </c>
      <c r="C72" s="2" t="s">
        <v>174</v>
      </c>
      <c r="D72" s="2" t="s">
        <v>273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f>200</f>
        <v>200</v>
      </c>
      <c r="Q72" s="1"/>
      <c r="R72" s="1">
        <f>160</f>
        <v>160</v>
      </c>
      <c r="S72" s="1"/>
      <c r="T72" s="1">
        <f>160</f>
        <v>160</v>
      </c>
      <c r="U72" s="1"/>
      <c r="V72" s="1"/>
      <c r="W72" s="1">
        <f>130</f>
        <v>130</v>
      </c>
      <c r="X72" s="1">
        <f>130</f>
        <v>130</v>
      </c>
      <c r="Y72" s="1">
        <f>130</f>
        <v>130</v>
      </c>
      <c r="Z72" s="1">
        <f>130</f>
        <v>130</v>
      </c>
      <c r="AA72" s="3"/>
      <c r="AB72" s="3"/>
      <c r="AC72" s="3">
        <f>278771</f>
        <v>278771</v>
      </c>
      <c r="AD72" s="3"/>
      <c r="AE72" s="3">
        <f>232309</f>
        <v>232309</v>
      </c>
      <c r="AF72" s="4">
        <f t="shared" si="0"/>
        <v>511080</v>
      </c>
    </row>
    <row r="73" spans="1:32" x14ac:dyDescent="0.25">
      <c r="A73" s="1">
        <v>64</v>
      </c>
      <c r="B73" s="2" t="s">
        <v>211</v>
      </c>
      <c r="C73" s="2" t="s">
        <v>212</v>
      </c>
      <c r="D73" s="2" t="s">
        <v>273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3"/>
      <c r="AB73" s="3"/>
      <c r="AC73" s="3"/>
      <c r="AD73" s="3"/>
      <c r="AE73" s="3"/>
      <c r="AF73" s="4">
        <f t="shared" si="0"/>
        <v>0</v>
      </c>
    </row>
    <row r="74" spans="1:32" x14ac:dyDescent="0.25">
      <c r="A74" s="1">
        <v>65</v>
      </c>
      <c r="B74" s="2" t="s">
        <v>214</v>
      </c>
      <c r="C74" s="2" t="s">
        <v>276</v>
      </c>
      <c r="D74" s="2" t="s">
        <v>273</v>
      </c>
      <c r="E74" s="1">
        <v>800</v>
      </c>
      <c r="F74" s="1">
        <v>300</v>
      </c>
      <c r="G74" s="1"/>
      <c r="H74" s="1"/>
      <c r="I74" s="1"/>
      <c r="J74" s="1"/>
      <c r="K74" s="1">
        <f>26</f>
        <v>26</v>
      </c>
      <c r="L74" s="1">
        <f>20+25</f>
        <v>45</v>
      </c>
      <c r="M74" s="1">
        <f>23</f>
        <v>23</v>
      </c>
      <c r="N74" s="1">
        <f>28+25</f>
        <v>53</v>
      </c>
      <c r="O74" s="1"/>
      <c r="P74" s="1">
        <f>150</f>
        <v>150</v>
      </c>
      <c r="Q74" s="1"/>
      <c r="R74" s="1">
        <f>100</f>
        <v>100</v>
      </c>
      <c r="S74" s="1"/>
      <c r="T74" s="1">
        <f>100</f>
        <v>100</v>
      </c>
      <c r="U74" s="1"/>
      <c r="V74" s="1">
        <f>50</f>
        <v>50</v>
      </c>
      <c r="W74" s="1">
        <f>70</f>
        <v>70</v>
      </c>
      <c r="X74" s="1">
        <f>58</f>
        <v>58</v>
      </c>
      <c r="Y74" s="1">
        <f>70</f>
        <v>70</v>
      </c>
      <c r="Z74" s="1">
        <f>70</f>
        <v>70</v>
      </c>
      <c r="AA74" s="3">
        <v>353619</v>
      </c>
      <c r="AB74" s="3">
        <f>73376+43259</f>
        <v>116635</v>
      </c>
      <c r="AC74" s="3">
        <f>187635</f>
        <v>187635</v>
      </c>
      <c r="AD74" s="3">
        <f>45099</f>
        <v>45099</v>
      </c>
      <c r="AE74" s="3">
        <v>119728</v>
      </c>
      <c r="AF74" s="4">
        <f t="shared" si="0"/>
        <v>822716</v>
      </c>
    </row>
    <row r="75" spans="1:32" x14ac:dyDescent="0.25">
      <c r="A75" s="1">
        <v>66</v>
      </c>
      <c r="B75" s="5" t="s">
        <v>111</v>
      </c>
      <c r="C75" s="2" t="s">
        <v>112</v>
      </c>
      <c r="D75" s="2" t="s">
        <v>274</v>
      </c>
      <c r="E75" s="1">
        <v>336</v>
      </c>
      <c r="F75" s="1">
        <f>100+146</f>
        <v>246</v>
      </c>
      <c r="G75" s="1">
        <f>15+10</f>
        <v>25</v>
      </c>
      <c r="H75" s="1">
        <f>19</f>
        <v>19</v>
      </c>
      <c r="I75" s="1">
        <f>30</f>
        <v>30</v>
      </c>
      <c r="J75" s="1"/>
      <c r="K75" s="1"/>
      <c r="L75" s="1"/>
      <c r="M75" s="1"/>
      <c r="N75" s="1"/>
      <c r="O75" s="1">
        <f>25</f>
        <v>25</v>
      </c>
      <c r="P75" s="1">
        <f>20+40</f>
        <v>60</v>
      </c>
      <c r="Q75" s="1">
        <v>25</v>
      </c>
      <c r="R75" s="1">
        <f>20+40</f>
        <v>60</v>
      </c>
      <c r="S75" s="1">
        <v>25</v>
      </c>
      <c r="T75" s="1">
        <f>10+40</f>
        <v>50</v>
      </c>
      <c r="U75" s="1">
        <v>10</v>
      </c>
      <c r="V75" s="1">
        <f>30</f>
        <v>30</v>
      </c>
      <c r="W75" s="1">
        <f>10+20</f>
        <v>30</v>
      </c>
      <c r="X75" s="1">
        <f>10+20</f>
        <v>30</v>
      </c>
      <c r="Y75" s="1">
        <f>10+20</f>
        <v>30</v>
      </c>
      <c r="Z75" s="1"/>
      <c r="AA75" s="3">
        <f>98732+166938</f>
        <v>265670</v>
      </c>
      <c r="AB75" s="3"/>
      <c r="AC75" s="3">
        <f>40228+96549</f>
        <v>136777</v>
      </c>
      <c r="AD75" s="3">
        <f>27591</f>
        <v>27591</v>
      </c>
      <c r="AE75" s="3">
        <f>13402+26805</f>
        <v>40207</v>
      </c>
      <c r="AF75" s="4">
        <f t="shared" ref="AF75:AF93" si="1">AA75+AB75+AC75+AE75+AD75</f>
        <v>470245</v>
      </c>
    </row>
    <row r="76" spans="1:32" x14ac:dyDescent="0.25">
      <c r="A76" s="1">
        <v>67</v>
      </c>
      <c r="B76" s="2" t="s">
        <v>113</v>
      </c>
      <c r="C76" s="2" t="s">
        <v>114</v>
      </c>
      <c r="D76" s="2" t="s">
        <v>274</v>
      </c>
      <c r="E76" s="1">
        <f>5</f>
        <v>5</v>
      </c>
      <c r="F76" s="1"/>
      <c r="G76" s="1">
        <f>10+10</f>
        <v>20</v>
      </c>
      <c r="H76" s="1">
        <f>10+10</f>
        <v>20</v>
      </c>
      <c r="I76" s="1">
        <f>90+50</f>
        <v>140</v>
      </c>
      <c r="J76" s="1">
        <f>14+40</f>
        <v>54</v>
      </c>
      <c r="K76" s="1"/>
      <c r="L76" s="1"/>
      <c r="M76" s="1"/>
      <c r="N76" s="1"/>
      <c r="O76" s="1">
        <v>5</v>
      </c>
      <c r="P76" s="1">
        <v>5</v>
      </c>
      <c r="Q76" s="1">
        <v>10</v>
      </c>
      <c r="R76" s="1"/>
      <c r="S76" s="1">
        <v>5</v>
      </c>
      <c r="T76" s="1"/>
      <c r="U76" s="1"/>
      <c r="V76" s="1"/>
      <c r="W76" s="1"/>
      <c r="X76" s="1"/>
      <c r="Y76" s="1"/>
      <c r="Z76" s="1"/>
      <c r="AA76" s="3">
        <f>99595+84335</f>
        <v>183930</v>
      </c>
      <c r="AB76" s="3"/>
      <c r="AC76" s="3">
        <v>13419</v>
      </c>
      <c r="AD76" s="3"/>
      <c r="AE76" s="3"/>
      <c r="AF76" s="4">
        <f t="shared" si="1"/>
        <v>197349</v>
      </c>
    </row>
    <row r="77" spans="1:32" x14ac:dyDescent="0.25">
      <c r="A77" s="1">
        <v>68</v>
      </c>
      <c r="B77" s="2" t="s">
        <v>115</v>
      </c>
      <c r="C77" s="2" t="s">
        <v>116</v>
      </c>
      <c r="D77" s="2" t="s">
        <v>274</v>
      </c>
      <c r="E77" s="1">
        <f>30+25</f>
        <v>55</v>
      </c>
      <c r="F77" s="1">
        <f>40+20</f>
        <v>60</v>
      </c>
      <c r="G77" s="1"/>
      <c r="H77" s="1"/>
      <c r="I77" s="1">
        <f>160+20</f>
        <v>180</v>
      </c>
      <c r="J77" s="1">
        <f>100+20</f>
        <v>120</v>
      </c>
      <c r="K77" s="1">
        <f>5</f>
        <v>5</v>
      </c>
      <c r="L77" s="1">
        <f>3</f>
        <v>3</v>
      </c>
      <c r="M77" s="1">
        <f>5</f>
        <v>5</v>
      </c>
      <c r="N77" s="1">
        <f>3</f>
        <v>3</v>
      </c>
      <c r="O77" s="1">
        <f>4+20</f>
        <v>24</v>
      </c>
      <c r="P77" s="1">
        <f>2+5</f>
        <v>7</v>
      </c>
      <c r="Q77" s="1">
        <f>4+20</f>
        <v>24</v>
      </c>
      <c r="R77" s="1">
        <f>2+10</f>
        <v>12</v>
      </c>
      <c r="S77" s="1">
        <f>4+10</f>
        <v>14</v>
      </c>
      <c r="T77" s="1">
        <f>2+10</f>
        <v>12</v>
      </c>
      <c r="U77" s="1">
        <f>10</f>
        <v>10</v>
      </c>
      <c r="V77" s="1"/>
      <c r="W77" s="1">
        <f>1+10</f>
        <v>11</v>
      </c>
      <c r="X77" s="1">
        <f>1</f>
        <v>1</v>
      </c>
      <c r="Y77" s="1">
        <f>1+10</f>
        <v>11</v>
      </c>
      <c r="Z77" s="1">
        <f>1+20</f>
        <v>21</v>
      </c>
      <c r="AA77" s="3">
        <f>232097+47412</f>
        <v>279509</v>
      </c>
      <c r="AB77" s="3">
        <f>11691</f>
        <v>11691</v>
      </c>
      <c r="AC77" s="3">
        <f>9660+45619</f>
        <v>55279</v>
      </c>
      <c r="AD77" s="3"/>
      <c r="AE77" s="3">
        <f>1858+17869</f>
        <v>19727</v>
      </c>
      <c r="AF77" s="4">
        <f t="shared" si="1"/>
        <v>366206</v>
      </c>
    </row>
    <row r="78" spans="1:32" x14ac:dyDescent="0.25">
      <c r="A78" s="1">
        <v>69</v>
      </c>
      <c r="B78" s="2" t="s">
        <v>158</v>
      </c>
      <c r="C78" s="2" t="s">
        <v>118</v>
      </c>
      <c r="D78" s="2" t="s">
        <v>274</v>
      </c>
      <c r="E78" s="1">
        <f>200+50</f>
        <v>250</v>
      </c>
      <c r="F78" s="1">
        <f>150+50</f>
        <v>200</v>
      </c>
      <c r="G78" s="1"/>
      <c r="H78" s="1">
        <f>5</f>
        <v>5</v>
      </c>
      <c r="I78" s="1"/>
      <c r="J78" s="1"/>
      <c r="K78" s="1">
        <f>3</f>
        <v>3</v>
      </c>
      <c r="L78" s="1">
        <f>5</f>
        <v>5</v>
      </c>
      <c r="M78" s="1">
        <f>3</f>
        <v>3</v>
      </c>
      <c r="N78" s="1">
        <f>10</f>
        <v>10</v>
      </c>
      <c r="O78" s="1">
        <f>30+120</f>
        <v>150</v>
      </c>
      <c r="P78" s="1">
        <f>25</f>
        <v>25</v>
      </c>
      <c r="Q78" s="1">
        <f>30+140</f>
        <v>170</v>
      </c>
      <c r="R78" s="1">
        <f>25</f>
        <v>25</v>
      </c>
      <c r="S78" s="1">
        <f>20+80</f>
        <v>100</v>
      </c>
      <c r="T78" s="1">
        <f>30</f>
        <v>30</v>
      </c>
      <c r="U78" s="1">
        <f>40</f>
        <v>40</v>
      </c>
      <c r="V78" s="1">
        <f>10</f>
        <v>10</v>
      </c>
      <c r="W78" s="1"/>
      <c r="X78" s="1"/>
      <c r="Y78" s="1"/>
      <c r="Z78" s="1"/>
      <c r="AA78" s="3">
        <f>129217+37895</f>
        <v>167112</v>
      </c>
      <c r="AB78" s="3">
        <v>16877</v>
      </c>
      <c r="AC78" s="3">
        <f>85844+204040</f>
        <v>289884</v>
      </c>
      <c r="AD78" s="3">
        <f>9196</f>
        <v>9196</v>
      </c>
      <c r="AE78" s="3"/>
      <c r="AF78" s="4">
        <f t="shared" si="1"/>
        <v>483069</v>
      </c>
    </row>
    <row r="79" spans="1:32" x14ac:dyDescent="0.25">
      <c r="A79" s="1"/>
      <c r="B79" s="28" t="s">
        <v>119</v>
      </c>
      <c r="C79" s="28" t="s">
        <v>120</v>
      </c>
      <c r="D79" s="2" t="s">
        <v>274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3"/>
      <c r="AB79" s="3"/>
      <c r="AC79" s="3"/>
      <c r="AD79" s="3"/>
      <c r="AE79" s="3"/>
      <c r="AF79" s="4">
        <f t="shared" si="1"/>
        <v>0</v>
      </c>
    </row>
    <row r="80" spans="1:32" x14ac:dyDescent="0.25">
      <c r="A80" s="1">
        <v>70</v>
      </c>
      <c r="B80" s="2" t="s">
        <v>121</v>
      </c>
      <c r="C80" s="2" t="s">
        <v>122</v>
      </c>
      <c r="D80" s="2" t="s">
        <v>274</v>
      </c>
      <c r="E80" s="1">
        <f>650+430+600</f>
        <v>1680</v>
      </c>
      <c r="F80" s="1">
        <f>170+170+150</f>
        <v>490</v>
      </c>
      <c r="G80" s="1">
        <f>15+20</f>
        <v>35</v>
      </c>
      <c r="H80" s="1">
        <f>10+5</f>
        <v>15</v>
      </c>
      <c r="I80" s="1">
        <f>100+65+90</f>
        <v>255</v>
      </c>
      <c r="J80" s="1"/>
      <c r="K80" s="1">
        <f>10+10</f>
        <v>20</v>
      </c>
      <c r="L80" s="1">
        <f>5+10+7</f>
        <v>22</v>
      </c>
      <c r="M80" s="1"/>
      <c r="N80" s="1">
        <f>10+7</f>
        <v>17</v>
      </c>
      <c r="O80" s="1">
        <f>40+50+30</f>
        <v>120</v>
      </c>
      <c r="P80" s="1">
        <f>40+50+30</f>
        <v>120</v>
      </c>
      <c r="Q80" s="1">
        <f>40+50+30</f>
        <v>120</v>
      </c>
      <c r="R80" s="1">
        <f>40+50+30</f>
        <v>120</v>
      </c>
      <c r="S80" s="1">
        <f>15+30+30</f>
        <v>75</v>
      </c>
      <c r="T80" s="1">
        <f>25+50+30</f>
        <v>105</v>
      </c>
      <c r="U80" s="1">
        <f>25</f>
        <v>25</v>
      </c>
      <c r="V80" s="1">
        <f>50</f>
        <v>50</v>
      </c>
      <c r="W80" s="1">
        <v>20</v>
      </c>
      <c r="X80" s="1">
        <v>20</v>
      </c>
      <c r="Y80" s="1">
        <v>20</v>
      </c>
      <c r="Z80" s="1">
        <v>20</v>
      </c>
      <c r="AA80" s="3">
        <f>338112+263331+317960</f>
        <v>919403</v>
      </c>
      <c r="AB80" s="3">
        <f>10826+17304+18612</f>
        <v>46742</v>
      </c>
      <c r="AC80" s="3">
        <f>107300+150218+109998</f>
        <v>367516</v>
      </c>
      <c r="AD80" s="3">
        <f>45099</f>
        <v>45099</v>
      </c>
      <c r="AE80" s="3">
        <f>35739</f>
        <v>35739</v>
      </c>
      <c r="AF80" s="4">
        <f t="shared" si="1"/>
        <v>1414499</v>
      </c>
    </row>
    <row r="81" spans="1:32" x14ac:dyDescent="0.25">
      <c r="A81" s="1">
        <v>71</v>
      </c>
      <c r="B81" s="5" t="s">
        <v>123</v>
      </c>
      <c r="C81" s="2" t="s">
        <v>124</v>
      </c>
      <c r="D81" s="2" t="s">
        <v>274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"/>
      <c r="AB81" s="3"/>
      <c r="AC81" s="3"/>
      <c r="AD81" s="3"/>
      <c r="AE81" s="3"/>
      <c r="AF81" s="4">
        <f t="shared" si="1"/>
        <v>0</v>
      </c>
    </row>
    <row r="82" spans="1:32" x14ac:dyDescent="0.25">
      <c r="A82" s="1">
        <v>72</v>
      </c>
      <c r="B82" s="5" t="s">
        <v>125</v>
      </c>
      <c r="C82" s="2" t="s">
        <v>126</v>
      </c>
      <c r="D82" s="2" t="s">
        <v>274</v>
      </c>
      <c r="E82" s="1">
        <f>150</f>
        <v>150</v>
      </c>
      <c r="F82" s="1">
        <f>130</f>
        <v>130</v>
      </c>
      <c r="G82" s="1"/>
      <c r="H82" s="1"/>
      <c r="I82" s="1">
        <f>60</f>
        <v>60</v>
      </c>
      <c r="J82" s="1"/>
      <c r="K82" s="1"/>
      <c r="L82" s="1">
        <f>1</f>
        <v>1</v>
      </c>
      <c r="M82" s="1"/>
      <c r="N82" s="1"/>
      <c r="O82" s="1">
        <f>30</f>
        <v>30</v>
      </c>
      <c r="P82" s="1">
        <f>25</f>
        <v>25</v>
      </c>
      <c r="Q82" s="1">
        <f>30</f>
        <v>30</v>
      </c>
      <c r="R82" s="1">
        <f>25</f>
        <v>25</v>
      </c>
      <c r="S82" s="1">
        <f>30</f>
        <v>30</v>
      </c>
      <c r="T82" s="1">
        <f>25</f>
        <v>25</v>
      </c>
      <c r="U82" s="1"/>
      <c r="V82" s="1">
        <f>5</f>
        <v>5</v>
      </c>
      <c r="W82" s="1">
        <f>10</f>
        <v>10</v>
      </c>
      <c r="X82" s="1">
        <f>10</f>
        <v>10</v>
      </c>
      <c r="Y82" s="1">
        <f>10</f>
        <v>10</v>
      </c>
      <c r="Z82" s="1">
        <f>10</f>
        <v>10</v>
      </c>
      <c r="AA82" s="3">
        <f>152928</f>
        <v>152928</v>
      </c>
      <c r="AB82" s="3">
        <f>865</f>
        <v>865</v>
      </c>
      <c r="AC82" s="3">
        <f>88533</f>
        <v>88533</v>
      </c>
      <c r="AD82" s="3">
        <f>4598</f>
        <v>4598</v>
      </c>
      <c r="AE82" s="3">
        <f>17870</f>
        <v>17870</v>
      </c>
      <c r="AF82" s="4">
        <f t="shared" si="1"/>
        <v>264794</v>
      </c>
    </row>
    <row r="83" spans="1:32" x14ac:dyDescent="0.25">
      <c r="A83" s="1">
        <v>73</v>
      </c>
      <c r="B83" s="2" t="s">
        <v>127</v>
      </c>
      <c r="C83" s="2" t="s">
        <v>128</v>
      </c>
      <c r="D83" s="2" t="s">
        <v>274</v>
      </c>
      <c r="E83" s="1">
        <f>130</f>
        <v>130</v>
      </c>
      <c r="F83" s="1">
        <f>250</f>
        <v>250</v>
      </c>
      <c r="G83" s="1"/>
      <c r="H83" s="1">
        <f>8</f>
        <v>8</v>
      </c>
      <c r="I83" s="1">
        <f>10</f>
        <v>10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">
        <f>129935</f>
        <v>129935</v>
      </c>
      <c r="AB83" s="3"/>
      <c r="AC83" s="3"/>
      <c r="AD83" s="3"/>
      <c r="AE83" s="3"/>
      <c r="AF83" s="4">
        <f t="shared" si="1"/>
        <v>129935</v>
      </c>
    </row>
    <row r="84" spans="1:32" x14ac:dyDescent="0.25">
      <c r="A84" s="1">
        <v>74</v>
      </c>
      <c r="B84" s="5" t="s">
        <v>131</v>
      </c>
      <c r="C84" s="5" t="s">
        <v>132</v>
      </c>
      <c r="D84" s="2" t="s">
        <v>274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"/>
      <c r="AB84" s="3"/>
      <c r="AC84" s="3"/>
      <c r="AD84" s="3"/>
      <c r="AE84" s="3"/>
      <c r="AF84" s="4">
        <f t="shared" si="1"/>
        <v>0</v>
      </c>
    </row>
    <row r="85" spans="1:32" x14ac:dyDescent="0.25">
      <c r="A85" s="1">
        <v>75</v>
      </c>
      <c r="B85" s="2" t="s">
        <v>133</v>
      </c>
      <c r="C85" s="2" t="s">
        <v>132</v>
      </c>
      <c r="D85" s="2" t="s">
        <v>274</v>
      </c>
      <c r="E85" s="1">
        <f>185</f>
        <v>185</v>
      </c>
      <c r="F85" s="1">
        <f>5</f>
        <v>5</v>
      </c>
      <c r="G85" s="1"/>
      <c r="H85" s="1">
        <f>10</f>
        <v>10</v>
      </c>
      <c r="I85" s="1"/>
      <c r="J85" s="1"/>
      <c r="K85" s="1"/>
      <c r="L85" s="1"/>
      <c r="M85" s="1"/>
      <c r="N85" s="1"/>
      <c r="O85" s="1">
        <f>5</f>
        <v>5</v>
      </c>
      <c r="P85" s="1">
        <f>1</f>
        <v>1</v>
      </c>
      <c r="Q85" s="1">
        <f>5</f>
        <v>5</v>
      </c>
      <c r="R85" s="1">
        <f>1</f>
        <v>1</v>
      </c>
      <c r="S85" s="1">
        <f>5</f>
        <v>5</v>
      </c>
      <c r="T85" s="1">
        <f>1</f>
        <v>1</v>
      </c>
      <c r="U85" s="1"/>
      <c r="V85" s="1"/>
      <c r="W85" s="1">
        <f>1</f>
        <v>1</v>
      </c>
      <c r="X85" s="1">
        <f>1</f>
        <v>1</v>
      </c>
      <c r="Y85" s="1">
        <f>1</f>
        <v>1</v>
      </c>
      <c r="Z85" s="1">
        <f>1</f>
        <v>1</v>
      </c>
      <c r="AA85" s="3">
        <f>39485</f>
        <v>39485</v>
      </c>
      <c r="AB85" s="3"/>
      <c r="AC85" s="3">
        <f>10032</f>
        <v>10032</v>
      </c>
      <c r="AD85" s="3"/>
      <c r="AE85" s="3">
        <f>1858</f>
        <v>1858</v>
      </c>
      <c r="AF85" s="4">
        <f t="shared" si="1"/>
        <v>51375</v>
      </c>
    </row>
    <row r="86" spans="1:32" x14ac:dyDescent="0.25">
      <c r="A86" s="1">
        <v>76</v>
      </c>
      <c r="B86" s="9" t="s">
        <v>134</v>
      </c>
      <c r="C86" s="2" t="s">
        <v>135</v>
      </c>
      <c r="D86" s="2" t="s">
        <v>274</v>
      </c>
      <c r="E86" s="1">
        <v>350</v>
      </c>
      <c r="F86" s="1">
        <v>130</v>
      </c>
      <c r="G86" s="1"/>
      <c r="H86" s="1">
        <v>20</v>
      </c>
      <c r="I86" s="1">
        <v>20</v>
      </c>
      <c r="J86" s="1"/>
      <c r="K86" s="1">
        <v>8</v>
      </c>
      <c r="L86" s="1"/>
      <c r="M86" s="1">
        <v>2</v>
      </c>
      <c r="N86" s="1"/>
      <c r="O86" s="1">
        <v>50</v>
      </c>
      <c r="P86" s="1">
        <v>35</v>
      </c>
      <c r="Q86" s="1">
        <v>50</v>
      </c>
      <c r="R86" s="1">
        <v>35</v>
      </c>
      <c r="S86" s="1">
        <v>50</v>
      </c>
      <c r="T86" s="1">
        <v>35</v>
      </c>
      <c r="U86" s="1"/>
      <c r="V86" s="1"/>
      <c r="W86" s="1"/>
      <c r="X86" s="1"/>
      <c r="Y86" s="1"/>
      <c r="Z86" s="1"/>
      <c r="AA86" s="3">
        <v>182159</v>
      </c>
      <c r="AB86" s="3">
        <v>6499</v>
      </c>
      <c r="AC86" s="3">
        <v>136833</v>
      </c>
      <c r="AD86" s="3"/>
      <c r="AE86" s="3"/>
      <c r="AF86" s="4">
        <f t="shared" si="1"/>
        <v>325491</v>
      </c>
    </row>
    <row r="87" spans="1:32" x14ac:dyDescent="0.25">
      <c r="A87" s="1">
        <v>77</v>
      </c>
      <c r="B87" s="9" t="s">
        <v>138</v>
      </c>
      <c r="C87" s="2" t="s">
        <v>139</v>
      </c>
      <c r="D87" s="2" t="s">
        <v>274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"/>
      <c r="AB87" s="3"/>
      <c r="AC87" s="3"/>
      <c r="AD87" s="3"/>
      <c r="AE87" s="3"/>
      <c r="AF87" s="4">
        <f t="shared" si="1"/>
        <v>0</v>
      </c>
    </row>
    <row r="88" spans="1:32" x14ac:dyDescent="0.25">
      <c r="A88" s="1">
        <v>78</v>
      </c>
      <c r="B88" s="9" t="s">
        <v>234</v>
      </c>
      <c r="C88" s="2" t="s">
        <v>235</v>
      </c>
      <c r="D88" s="2" t="s">
        <v>274</v>
      </c>
      <c r="E88" s="1">
        <f>54</f>
        <v>54</v>
      </c>
      <c r="F88" s="1"/>
      <c r="G88" s="1">
        <f>9</f>
        <v>9</v>
      </c>
      <c r="H88" s="1"/>
      <c r="I88" s="1"/>
      <c r="J88" s="1"/>
      <c r="K88" s="1"/>
      <c r="L88" s="1"/>
      <c r="M88" s="1"/>
      <c r="N88" s="1"/>
      <c r="O88" s="1">
        <f>50</f>
        <v>50</v>
      </c>
      <c r="P88" s="1">
        <f>16</f>
        <v>16</v>
      </c>
      <c r="Q88" s="1">
        <f>60</f>
        <v>60</v>
      </c>
      <c r="R88" s="1">
        <f>15</f>
        <v>15</v>
      </c>
      <c r="S88" s="1">
        <f>50</f>
        <v>50</v>
      </c>
      <c r="T88" s="1">
        <f>15</f>
        <v>15</v>
      </c>
      <c r="U88" s="1"/>
      <c r="V88" s="1">
        <f>5</f>
        <v>5</v>
      </c>
      <c r="W88" s="1">
        <f>5</f>
        <v>5</v>
      </c>
      <c r="X88" s="1">
        <f>5</f>
        <v>5</v>
      </c>
      <c r="Y88" s="1">
        <f>5</f>
        <v>5</v>
      </c>
      <c r="Z88" s="1">
        <f>5</f>
        <v>5</v>
      </c>
      <c r="AA88" s="3">
        <f>21115</f>
        <v>21115</v>
      </c>
      <c r="AB88" s="3"/>
      <c r="AC88" s="3">
        <f>110572</f>
        <v>110572</v>
      </c>
      <c r="AD88" s="3">
        <f>4599</f>
        <v>4599</v>
      </c>
      <c r="AE88" s="3">
        <f>9289</f>
        <v>9289</v>
      </c>
      <c r="AF88" s="4">
        <f t="shared" si="1"/>
        <v>145575</v>
      </c>
    </row>
    <row r="89" spans="1:32" x14ac:dyDescent="0.25">
      <c r="A89" s="1">
        <v>79</v>
      </c>
      <c r="B89" s="9" t="s">
        <v>246</v>
      </c>
      <c r="C89" s="2" t="s">
        <v>247</v>
      </c>
      <c r="D89" s="2" t="s">
        <v>274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"/>
      <c r="AB89" s="3"/>
      <c r="AC89" s="3"/>
      <c r="AD89" s="3"/>
      <c r="AE89" s="3"/>
      <c r="AF89" s="4">
        <f t="shared" si="1"/>
        <v>0</v>
      </c>
    </row>
    <row r="90" spans="1:32" x14ac:dyDescent="0.25">
      <c r="A90" s="1">
        <v>80</v>
      </c>
      <c r="B90" s="9" t="s">
        <v>142</v>
      </c>
      <c r="C90" s="2" t="s">
        <v>143</v>
      </c>
      <c r="D90" s="2" t="s">
        <v>274</v>
      </c>
      <c r="E90" s="1">
        <f>50+25+60</f>
        <v>135</v>
      </c>
      <c r="F90" s="1">
        <f>35+15+20</f>
        <v>70</v>
      </c>
      <c r="G90" s="1">
        <f>5+3</f>
        <v>8</v>
      </c>
      <c r="H90" s="1">
        <f>2+1</f>
        <v>3</v>
      </c>
      <c r="I90" s="1">
        <f>20+15+20</f>
        <v>55</v>
      </c>
      <c r="J90" s="1"/>
      <c r="K90" s="1">
        <v>1</v>
      </c>
      <c r="L90" s="1">
        <v>1</v>
      </c>
      <c r="M90" s="1">
        <v>1</v>
      </c>
      <c r="N90" s="1">
        <v>1</v>
      </c>
      <c r="O90" s="1">
        <f>3+2+2</f>
        <v>7</v>
      </c>
      <c r="P90" s="1">
        <f>2+2+3</f>
        <v>7</v>
      </c>
      <c r="Q90" s="1">
        <f>5+2</f>
        <v>7</v>
      </c>
      <c r="R90" s="1">
        <f>2+2+3</f>
        <v>7</v>
      </c>
      <c r="S90" s="1">
        <f>3+1+5</f>
        <v>9</v>
      </c>
      <c r="T90" s="1">
        <f>2+1+3</f>
        <v>6</v>
      </c>
      <c r="U90" s="1"/>
      <c r="V90" s="1"/>
      <c r="W90" s="1"/>
      <c r="X90" s="1"/>
      <c r="Y90" s="1"/>
      <c r="Z90" s="1"/>
      <c r="AA90" s="3">
        <f>51037+33001+47077</f>
        <v>131115</v>
      </c>
      <c r="AB90" s="3">
        <f>3177</f>
        <v>3177</v>
      </c>
      <c r="AC90" s="3">
        <f>9562+5625+8999</f>
        <v>24186</v>
      </c>
      <c r="AD90" s="3"/>
      <c r="AE90" s="3"/>
      <c r="AF90" s="4">
        <f t="shared" si="1"/>
        <v>158478</v>
      </c>
    </row>
    <row r="91" spans="1:32" x14ac:dyDescent="0.25">
      <c r="A91" s="1">
        <v>81</v>
      </c>
      <c r="B91" s="5" t="s">
        <v>146</v>
      </c>
      <c r="C91" s="2" t="s">
        <v>147</v>
      </c>
      <c r="D91" s="2" t="s">
        <v>274</v>
      </c>
      <c r="E91" s="1">
        <f>40+40+30</f>
        <v>110</v>
      </c>
      <c r="F91" s="1">
        <f>15+10+15</f>
        <v>40</v>
      </c>
      <c r="G91" s="1">
        <f>3+5</f>
        <v>8</v>
      </c>
      <c r="H91" s="1"/>
      <c r="I91" s="1">
        <f>20+15+20</f>
        <v>55</v>
      </c>
      <c r="J91" s="1"/>
      <c r="K91" s="1">
        <f>2</f>
        <v>2</v>
      </c>
      <c r="L91" s="1">
        <f>3+2</f>
        <v>5</v>
      </c>
      <c r="M91" s="1">
        <f>2</f>
        <v>2</v>
      </c>
      <c r="N91" s="1">
        <f>3</f>
        <v>3</v>
      </c>
      <c r="O91" s="1">
        <f>5+10</f>
        <v>15</v>
      </c>
      <c r="P91" s="1">
        <f>2+5</f>
        <v>7</v>
      </c>
      <c r="Q91" s="1">
        <f>5+10</f>
        <v>15</v>
      </c>
      <c r="R91" s="1">
        <f>2+6</f>
        <v>8</v>
      </c>
      <c r="S91" s="1">
        <f>3+10</f>
        <v>13</v>
      </c>
      <c r="T91" s="1">
        <f>2+6</f>
        <v>8</v>
      </c>
      <c r="U91" s="1"/>
      <c r="V91" s="1">
        <f>2+1</f>
        <v>3</v>
      </c>
      <c r="W91" s="1">
        <f>2</f>
        <v>2</v>
      </c>
      <c r="X91" s="1">
        <f>2</f>
        <v>2</v>
      </c>
      <c r="Y91" s="1">
        <f>2</f>
        <v>2</v>
      </c>
      <c r="Z91" s="1"/>
      <c r="AA91" s="3">
        <f>39048+33715+33731</f>
        <v>106494</v>
      </c>
      <c r="AB91" s="3">
        <f>6915+1835</f>
        <v>8750</v>
      </c>
      <c r="AC91" s="3">
        <f>10804+26435</f>
        <v>37239</v>
      </c>
      <c r="AD91" s="3">
        <f>1949+974</f>
        <v>2923</v>
      </c>
      <c r="AE91" s="3">
        <f>2812</f>
        <v>2812</v>
      </c>
      <c r="AF91" s="4">
        <f t="shared" si="1"/>
        <v>158218</v>
      </c>
    </row>
    <row r="92" spans="1:32" x14ac:dyDescent="0.25">
      <c r="A92" s="1">
        <v>82</v>
      </c>
      <c r="B92" s="5" t="s">
        <v>148</v>
      </c>
      <c r="C92" s="2" t="s">
        <v>149</v>
      </c>
      <c r="D92" s="2" t="s">
        <v>274</v>
      </c>
      <c r="E92" s="1">
        <f>123</f>
        <v>123</v>
      </c>
      <c r="F92" s="1">
        <f>4</f>
        <v>4</v>
      </c>
      <c r="G92" s="1"/>
      <c r="H92" s="1">
        <f>3</f>
        <v>3</v>
      </c>
      <c r="I92" s="1">
        <f>12</f>
        <v>12</v>
      </c>
      <c r="J92" s="1"/>
      <c r="K92" s="1">
        <f>1</f>
        <v>1</v>
      </c>
      <c r="L92" s="1">
        <f>1</f>
        <v>1</v>
      </c>
      <c r="M92" s="1"/>
      <c r="N92" s="1"/>
      <c r="O92" s="1">
        <f>4</f>
        <v>4</v>
      </c>
      <c r="P92" s="1">
        <f>2</f>
        <v>2</v>
      </c>
      <c r="Q92" s="1">
        <f>4</f>
        <v>4</v>
      </c>
      <c r="R92" s="1">
        <f>2</f>
        <v>2</v>
      </c>
      <c r="S92" s="1">
        <f>4</f>
        <v>4</v>
      </c>
      <c r="T92" s="1">
        <f>2</f>
        <v>2</v>
      </c>
      <c r="U92" s="1"/>
      <c r="V92" s="1"/>
      <c r="W92" s="1">
        <f>2</f>
        <v>2</v>
      </c>
      <c r="X92" s="1">
        <f>2</f>
        <v>2</v>
      </c>
      <c r="Y92" s="1">
        <f>2</f>
        <v>2</v>
      </c>
      <c r="Z92" s="1">
        <f>2</f>
        <v>2</v>
      </c>
      <c r="AA92" s="3">
        <f>47832</f>
        <v>47832</v>
      </c>
      <c r="AB92" s="3">
        <f>1589</f>
        <v>1589</v>
      </c>
      <c r="AC92" s="3">
        <f>10124</f>
        <v>10124</v>
      </c>
      <c r="AD92" s="3">
        <f>3749</f>
        <v>3749</v>
      </c>
      <c r="AE92" s="3"/>
      <c r="AF92" s="4">
        <f t="shared" si="1"/>
        <v>63294</v>
      </c>
    </row>
    <row r="93" spans="1:32" ht="15.75" thickBot="1" x14ac:dyDescent="0.3">
      <c r="A93" s="1">
        <v>83</v>
      </c>
      <c r="B93" s="10" t="s">
        <v>223</v>
      </c>
      <c r="C93" s="11" t="s">
        <v>224</v>
      </c>
      <c r="D93" s="2" t="s">
        <v>274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3"/>
      <c r="AC93" s="13"/>
      <c r="AD93" s="13"/>
      <c r="AE93" s="13"/>
      <c r="AF93" s="4">
        <f t="shared" si="1"/>
        <v>0</v>
      </c>
    </row>
    <row r="94" spans="1:32" ht="15.75" thickBot="1" x14ac:dyDescent="0.3">
      <c r="A94" s="39" t="s">
        <v>150</v>
      </c>
      <c r="B94" s="40"/>
      <c r="C94" s="24"/>
      <c r="D94" s="24"/>
      <c r="E94" s="25">
        <f t="shared" ref="E94:AF94" si="2">SUM(E5:E93)</f>
        <v>44070</v>
      </c>
      <c r="F94" s="25">
        <f t="shared" si="2"/>
        <v>16373</v>
      </c>
      <c r="G94" s="25">
        <f t="shared" si="2"/>
        <v>930</v>
      </c>
      <c r="H94" s="25">
        <f t="shared" si="2"/>
        <v>378</v>
      </c>
      <c r="I94" s="25">
        <f t="shared" si="2"/>
        <v>3990</v>
      </c>
      <c r="J94" s="25">
        <f t="shared" si="2"/>
        <v>229</v>
      </c>
      <c r="K94" s="25">
        <f t="shared" si="2"/>
        <v>490</v>
      </c>
      <c r="L94" s="25">
        <f t="shared" si="2"/>
        <v>353</v>
      </c>
      <c r="M94" s="25">
        <f t="shared" si="2"/>
        <v>429</v>
      </c>
      <c r="N94" s="25">
        <f t="shared" si="2"/>
        <v>306</v>
      </c>
      <c r="O94" s="25">
        <f t="shared" si="2"/>
        <v>4025</v>
      </c>
      <c r="P94" s="25">
        <f t="shared" si="2"/>
        <v>3357</v>
      </c>
      <c r="Q94" s="25">
        <f t="shared" si="2"/>
        <v>3485</v>
      </c>
      <c r="R94" s="25">
        <f t="shared" si="2"/>
        <v>3276</v>
      </c>
      <c r="S94" s="25">
        <f t="shared" si="2"/>
        <v>2115</v>
      </c>
      <c r="T94" s="25">
        <f t="shared" si="2"/>
        <v>3509</v>
      </c>
      <c r="U94" s="25">
        <f t="shared" si="2"/>
        <v>294</v>
      </c>
      <c r="V94" s="25">
        <f t="shared" si="2"/>
        <v>2455</v>
      </c>
      <c r="W94" s="25">
        <f t="shared" si="2"/>
        <v>418</v>
      </c>
      <c r="X94" s="25">
        <f t="shared" si="2"/>
        <v>390</v>
      </c>
      <c r="Y94" s="25">
        <f t="shared" si="2"/>
        <v>410</v>
      </c>
      <c r="Z94" s="25">
        <f t="shared" si="2"/>
        <v>460</v>
      </c>
      <c r="AA94" s="26">
        <f t="shared" si="2"/>
        <v>24641133</v>
      </c>
      <c r="AB94" s="26">
        <f t="shared" si="2"/>
        <v>1173108</v>
      </c>
      <c r="AC94" s="26">
        <f t="shared" si="2"/>
        <v>10808712</v>
      </c>
      <c r="AD94" s="26">
        <f t="shared" si="2"/>
        <v>2228600</v>
      </c>
      <c r="AE94" s="26">
        <f t="shared" si="2"/>
        <v>748041</v>
      </c>
      <c r="AF94" s="26">
        <f t="shared" si="2"/>
        <v>39599594</v>
      </c>
    </row>
  </sheetData>
  <mergeCells count="3">
    <mergeCell ref="A1:AF1"/>
    <mergeCell ref="A2:AF2"/>
    <mergeCell ref="A94:B94"/>
  </mergeCells>
  <pageMargins left="0.39370078740157483" right="0.70866141732283472" top="0.15748031496062992" bottom="0.15748031496062992" header="0.15748031496062992" footer="0.1574803149606299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0272-A319-41EA-8B32-891BCDEDE615}">
  <dimension ref="A1:AG91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20" sqref="M20"/>
    </sheetView>
  </sheetViews>
  <sheetFormatPr defaultRowHeight="15" x14ac:dyDescent="0.25"/>
  <cols>
    <col min="1" max="1" width="6.42578125" bestFit="1" customWidth="1"/>
    <col min="2" max="2" width="28.85546875" customWidth="1"/>
    <col min="3" max="3" width="14.28515625" customWidth="1"/>
    <col min="4" max="4" width="10.42578125" customWidth="1"/>
    <col min="5" max="5" width="7.7109375" style="14" customWidth="1"/>
    <col min="6" max="9" width="7.85546875" style="14" customWidth="1"/>
    <col min="10" max="10" width="7.42578125" style="14" customWidth="1"/>
    <col min="11" max="12" width="7.85546875" style="14" customWidth="1"/>
    <col min="13" max="14" width="7.5703125" style="14" customWidth="1"/>
    <col min="15" max="15" width="10" style="14" customWidth="1"/>
    <col min="16" max="16" width="10.140625" style="14" customWidth="1"/>
    <col min="17" max="18" width="8.42578125" style="14" customWidth="1"/>
    <col min="19" max="19" width="9.7109375" style="14" customWidth="1"/>
    <col min="20" max="22" width="8.42578125" style="14" customWidth="1"/>
    <col min="23" max="23" width="8.140625" style="14" customWidth="1"/>
    <col min="24" max="24" width="8.28515625" style="14" customWidth="1"/>
    <col min="25" max="25" width="8.7109375" style="14" customWidth="1"/>
    <col min="26" max="26" width="9" style="14" customWidth="1"/>
    <col min="27" max="27" width="9.28515625" style="14" customWidth="1"/>
    <col min="28" max="28" width="14.140625" style="14" customWidth="1"/>
    <col min="29" max="29" width="12.5703125" style="14" customWidth="1"/>
    <col min="30" max="30" width="14.140625" style="14" customWidth="1"/>
    <col min="31" max="31" width="12.5703125" style="14" customWidth="1"/>
    <col min="32" max="32" width="11.42578125" style="14" customWidth="1"/>
    <col min="33" max="33" width="14.140625" bestFit="1" customWidth="1"/>
  </cols>
  <sheetData>
    <row r="1" spans="1:33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</row>
    <row r="2" spans="1:33" ht="19.5" thickBot="1" x14ac:dyDescent="0.35">
      <c r="A2" s="38" t="s">
        <v>288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</row>
    <row r="3" spans="1:33" ht="70.5" customHeight="1" thickBot="1" x14ac:dyDescent="0.3">
      <c r="A3" s="15" t="s">
        <v>1</v>
      </c>
      <c r="B3" s="16" t="s">
        <v>2</v>
      </c>
      <c r="C3" s="16" t="s">
        <v>3</v>
      </c>
      <c r="D3" s="16" t="s">
        <v>263</v>
      </c>
      <c r="E3" s="17" t="s">
        <v>4</v>
      </c>
      <c r="F3" s="17" t="s">
        <v>5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12</v>
      </c>
      <c r="L3" s="17" t="s">
        <v>13</v>
      </c>
      <c r="M3" s="17" t="s">
        <v>14</v>
      </c>
      <c r="N3" s="17" t="s">
        <v>15</v>
      </c>
      <c r="O3" s="17" t="s">
        <v>240</v>
      </c>
      <c r="P3" s="17" t="s">
        <v>239</v>
      </c>
      <c r="Q3" s="17" t="s">
        <v>241</v>
      </c>
      <c r="R3" s="17" t="s">
        <v>242</v>
      </c>
      <c r="S3" s="17" t="s">
        <v>243</v>
      </c>
      <c r="T3" s="17" t="s">
        <v>250</v>
      </c>
      <c r="U3" s="17" t="s">
        <v>278</v>
      </c>
      <c r="V3" s="17" t="s">
        <v>293</v>
      </c>
      <c r="W3" s="17" t="s">
        <v>257</v>
      </c>
      <c r="X3" s="17" t="s">
        <v>252</v>
      </c>
      <c r="Y3" s="17" t="s">
        <v>253</v>
      </c>
      <c r="Z3" s="17" t="s">
        <v>254</v>
      </c>
      <c r="AA3" s="17" t="s">
        <v>255</v>
      </c>
      <c r="AB3" s="17" t="s">
        <v>25</v>
      </c>
      <c r="AC3" s="18" t="s">
        <v>26</v>
      </c>
      <c r="AD3" s="18" t="s">
        <v>238</v>
      </c>
      <c r="AE3" s="18" t="s">
        <v>258</v>
      </c>
      <c r="AF3" s="18" t="s">
        <v>256</v>
      </c>
      <c r="AG3" s="19" t="s">
        <v>28</v>
      </c>
    </row>
    <row r="4" spans="1:33" ht="15.75" thickBot="1" x14ac:dyDescent="0.3">
      <c r="A4" s="20"/>
      <c r="B4" s="21"/>
      <c r="C4" s="21"/>
      <c r="D4" s="21"/>
      <c r="E4" s="22" t="s">
        <v>29</v>
      </c>
      <c r="F4" s="22" t="s">
        <v>30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22" t="s">
        <v>29</v>
      </c>
      <c r="M4" s="22" t="s">
        <v>36</v>
      </c>
      <c r="N4" s="22" t="s">
        <v>29</v>
      </c>
      <c r="O4" s="22" t="s">
        <v>36</v>
      </c>
      <c r="P4" s="22" t="s">
        <v>29</v>
      </c>
      <c r="Q4" s="22" t="s">
        <v>36</v>
      </c>
      <c r="R4" s="22" t="s">
        <v>29</v>
      </c>
      <c r="S4" s="22" t="s">
        <v>36</v>
      </c>
      <c r="T4" s="22" t="s">
        <v>29</v>
      </c>
      <c r="U4" s="22" t="s">
        <v>36</v>
      </c>
      <c r="V4" s="22" t="s">
        <v>29</v>
      </c>
      <c r="W4" s="22" t="s">
        <v>30</v>
      </c>
      <c r="X4" s="22" t="s">
        <v>29</v>
      </c>
      <c r="Y4" s="22" t="s">
        <v>29</v>
      </c>
      <c r="Z4" s="22" t="s">
        <v>29</v>
      </c>
      <c r="AA4" s="22" t="s">
        <v>29</v>
      </c>
      <c r="AB4" s="22"/>
      <c r="AC4" s="22"/>
      <c r="AD4" s="22"/>
      <c r="AE4" s="22"/>
      <c r="AF4" s="22"/>
      <c r="AG4" s="23"/>
    </row>
    <row r="5" spans="1:33" x14ac:dyDescent="0.25">
      <c r="A5" s="1">
        <v>1</v>
      </c>
      <c r="B5" s="2" t="s">
        <v>39</v>
      </c>
      <c r="C5" s="2" t="s">
        <v>40</v>
      </c>
      <c r="D5" s="2" t="s">
        <v>40</v>
      </c>
      <c r="E5" s="1">
        <f>1208+1200+960+896</f>
        <v>4264</v>
      </c>
      <c r="F5" s="1">
        <f>220+200+160+170</f>
        <v>750</v>
      </c>
      <c r="G5" s="1"/>
      <c r="H5" s="1"/>
      <c r="I5" s="1">
        <f>60+50+30</f>
        <v>140</v>
      </c>
      <c r="J5" s="1"/>
      <c r="K5" s="1">
        <f>10+50+20</f>
        <v>80</v>
      </c>
      <c r="L5" s="1">
        <f>20+10+5</f>
        <v>35</v>
      </c>
      <c r="M5" s="1">
        <f>10+50</f>
        <v>60</v>
      </c>
      <c r="N5" s="1">
        <f>15+5</f>
        <v>20</v>
      </c>
      <c r="O5" s="1">
        <f>100+70+30</f>
        <v>200</v>
      </c>
      <c r="P5" s="1">
        <f>100+100+50</f>
        <v>250</v>
      </c>
      <c r="Q5" s="1">
        <f>100+50+30</f>
        <v>180</v>
      </c>
      <c r="R5" s="1">
        <f>100+50+50</f>
        <v>200</v>
      </c>
      <c r="S5" s="1">
        <f>20+50+30</f>
        <v>100</v>
      </c>
      <c r="T5" s="1">
        <f>200+30</f>
        <v>230</v>
      </c>
      <c r="U5" s="1"/>
      <c r="V5" s="1"/>
      <c r="W5" s="1">
        <f>200+50</f>
        <v>250</v>
      </c>
      <c r="X5" s="1"/>
      <c r="Y5" s="1"/>
      <c r="Z5" s="1"/>
      <c r="AA5" s="1"/>
      <c r="AB5" s="3">
        <f>465562+404082+364392+336835</f>
        <v>1570871</v>
      </c>
      <c r="AC5" s="3">
        <f>12998+95275+8652+21651</f>
        <v>138576</v>
      </c>
      <c r="AD5" s="3">
        <f>332568+171695+118018</f>
        <v>622281</v>
      </c>
      <c r="AE5" s="3">
        <f>178558+45099</f>
        <v>223657</v>
      </c>
      <c r="AF5" s="3"/>
      <c r="AG5" s="4">
        <f>AB5+AC5+AD5+AF5+AE5</f>
        <v>2555385</v>
      </c>
    </row>
    <row r="6" spans="1:33" x14ac:dyDescent="0.25">
      <c r="A6" s="1">
        <v>2</v>
      </c>
      <c r="B6" s="2" t="s">
        <v>41</v>
      </c>
      <c r="C6" s="2" t="s">
        <v>42</v>
      </c>
      <c r="D6" s="2" t="s">
        <v>264</v>
      </c>
      <c r="E6" s="1">
        <f>800+700+1000+400+650+1100+1000+315+600+450+1020+1000+700+650+1100</f>
        <v>11485</v>
      </c>
      <c r="F6" s="1">
        <f>150+250+120+200+200+50+100+75+200+50+200+120+75</f>
        <v>1790</v>
      </c>
      <c r="G6" s="1"/>
      <c r="H6" s="1"/>
      <c r="I6" s="1">
        <f>60+20+100+50+50+50+50+20+40+25</f>
        <v>465</v>
      </c>
      <c r="J6" s="1"/>
      <c r="K6" s="1">
        <f>5+3</f>
        <v>8</v>
      </c>
      <c r="L6" s="1">
        <f>10+5</f>
        <v>15</v>
      </c>
      <c r="M6" s="1">
        <f>5+3</f>
        <v>8</v>
      </c>
      <c r="N6" s="1">
        <f>10+5</f>
        <v>15</v>
      </c>
      <c r="O6" s="1">
        <f>15+25+10+30+10+15+20+50+30+30+10</f>
        <v>245</v>
      </c>
      <c r="P6" s="1">
        <f>50+70+40+80+70+100+70+200+120+25+50+120+60+100+50</f>
        <v>1205</v>
      </c>
      <c r="Q6" s="1">
        <f>15+25+40+40+10+20+20+30+15+20+10</f>
        <v>245</v>
      </c>
      <c r="R6" s="1">
        <f>30+35+25+40+40+60+40+20+70+15+40+120+30+10</f>
        <v>575</v>
      </c>
      <c r="S6" s="1">
        <f>5+5+30+5+30+5+10+10</f>
        <v>100</v>
      </c>
      <c r="T6" s="1">
        <f>30+35+30+30+30+30+30+80+30+25+10+40+10</f>
        <v>410</v>
      </c>
      <c r="U6" s="1"/>
      <c r="V6" s="1"/>
      <c r="W6" s="1">
        <f>50+5+5+5+50+5</f>
        <v>120</v>
      </c>
      <c r="X6" s="1"/>
      <c r="Y6" s="1"/>
      <c r="Z6" s="1"/>
      <c r="AA6" s="1"/>
      <c r="AB6" s="3">
        <f>277811+352451+252504+178098+347458+277754+394708+145934+243168+192657+375082+277773+310731+224774+336222</f>
        <v>4187125</v>
      </c>
      <c r="AC6" s="3">
        <f>23803+12551</f>
        <v>36354</v>
      </c>
      <c r="AD6" s="3">
        <f>75079+101901+58983+120686+118009+115283+99216+214524+152843+48270+26805+117984+117942+69693+53635</f>
        <v>1490853</v>
      </c>
      <c r="AE6" s="3">
        <f>45100+4598+4598+4598+45100+4598</f>
        <v>108592</v>
      </c>
      <c r="AF6" s="3"/>
      <c r="AG6" s="4">
        <f t="shared" ref="AG6:AG71" si="0">AB6+AC6+AD6+AF6+AE6</f>
        <v>5822924</v>
      </c>
    </row>
    <row r="7" spans="1:33" x14ac:dyDescent="0.25">
      <c r="A7" s="1">
        <v>3</v>
      </c>
      <c r="B7" s="5" t="s">
        <v>43</v>
      </c>
      <c r="C7" s="2" t="s">
        <v>44</v>
      </c>
      <c r="D7" s="2" t="s">
        <v>264</v>
      </c>
      <c r="E7" s="1">
        <f>600</f>
        <v>600</v>
      </c>
      <c r="F7" s="1">
        <f>70+50</f>
        <v>120</v>
      </c>
      <c r="G7" s="1"/>
      <c r="H7" s="1"/>
      <c r="I7" s="1">
        <f>30+80</f>
        <v>110</v>
      </c>
      <c r="J7" s="1"/>
      <c r="K7" s="1">
        <f>3</f>
        <v>3</v>
      </c>
      <c r="L7" s="1">
        <f>5</f>
        <v>5</v>
      </c>
      <c r="M7" s="1">
        <f>3</f>
        <v>3</v>
      </c>
      <c r="N7" s="1">
        <f>5</f>
        <v>5</v>
      </c>
      <c r="O7" s="1">
        <f>30+30</f>
        <v>60</v>
      </c>
      <c r="P7" s="1">
        <f>80</f>
        <v>80</v>
      </c>
      <c r="Q7" s="1">
        <f>40+20</f>
        <v>60</v>
      </c>
      <c r="R7" s="1">
        <f>80</f>
        <v>80</v>
      </c>
      <c r="S7" s="1">
        <f>30+30</f>
        <v>60</v>
      </c>
      <c r="T7" s="1">
        <f>100</f>
        <v>100</v>
      </c>
      <c r="U7" s="1"/>
      <c r="V7" s="1"/>
      <c r="W7" s="1">
        <f>30+20</f>
        <v>50</v>
      </c>
      <c r="X7" s="1"/>
      <c r="Y7" s="1"/>
      <c r="Z7" s="1"/>
      <c r="AA7" s="1"/>
      <c r="AB7" s="3">
        <f>60053+242574</f>
        <v>302627</v>
      </c>
      <c r="AC7" s="3">
        <f>12552</f>
        <v>12552</v>
      </c>
      <c r="AD7" s="3">
        <f>193080+42955</f>
        <v>236035</v>
      </c>
      <c r="AE7" s="3">
        <f>27591+18394</f>
        <v>45985</v>
      </c>
      <c r="AF7" s="3"/>
      <c r="AG7" s="4">
        <f t="shared" si="0"/>
        <v>597199</v>
      </c>
    </row>
    <row r="8" spans="1:33" x14ac:dyDescent="0.25">
      <c r="A8" s="1">
        <v>4</v>
      </c>
      <c r="B8" s="2" t="s">
        <v>45</v>
      </c>
      <c r="C8" s="2" t="s">
        <v>46</v>
      </c>
      <c r="D8" s="2" t="s">
        <v>264</v>
      </c>
      <c r="E8" s="1">
        <f>280+220</f>
        <v>500</v>
      </c>
      <c r="F8" s="1">
        <f>70+120</f>
        <v>190</v>
      </c>
      <c r="G8" s="1">
        <f>6+25</f>
        <v>31</v>
      </c>
      <c r="H8" s="1">
        <f>30+25</f>
        <v>55</v>
      </c>
      <c r="I8" s="1">
        <f>100+100</f>
        <v>200</v>
      </c>
      <c r="J8" s="1"/>
      <c r="K8" s="1"/>
      <c r="L8" s="1"/>
      <c r="M8" s="1"/>
      <c r="N8" s="1"/>
      <c r="O8" s="1">
        <f>40+10</f>
        <v>50</v>
      </c>
      <c r="P8" s="1">
        <f>40+80</f>
        <v>120</v>
      </c>
      <c r="Q8" s="1">
        <f>40+10</f>
        <v>50</v>
      </c>
      <c r="R8" s="1">
        <f>40+45</f>
        <v>85</v>
      </c>
      <c r="S8" s="1">
        <f>30</f>
        <v>30</v>
      </c>
      <c r="T8" s="1">
        <f>40+45</f>
        <v>85</v>
      </c>
      <c r="U8" s="1">
        <v>35</v>
      </c>
      <c r="V8" s="1">
        <v>25</v>
      </c>
      <c r="W8" s="1">
        <f>100</f>
        <v>100</v>
      </c>
      <c r="X8" s="1">
        <v>20</v>
      </c>
      <c r="Y8" s="1">
        <v>20</v>
      </c>
      <c r="Z8" s="1">
        <v>20</v>
      </c>
      <c r="AA8" s="1">
        <v>35</v>
      </c>
      <c r="AB8" s="3">
        <f>210766+233768</f>
        <v>444534</v>
      </c>
      <c r="AC8" s="3"/>
      <c r="AD8" s="3">
        <f>123396+134071</f>
        <v>257467</v>
      </c>
      <c r="AE8" s="3">
        <f>89279</f>
        <v>89279</v>
      </c>
      <c r="AF8" s="3">
        <v>42441</v>
      </c>
      <c r="AG8" s="4">
        <f t="shared" si="0"/>
        <v>833721</v>
      </c>
    </row>
    <row r="9" spans="1:33" x14ac:dyDescent="0.25">
      <c r="A9" s="1">
        <v>5</v>
      </c>
      <c r="B9" s="2" t="s">
        <v>47</v>
      </c>
      <c r="C9" s="2" t="s">
        <v>48</v>
      </c>
      <c r="D9" s="2" t="s">
        <v>264</v>
      </c>
      <c r="E9" s="1">
        <f>600+400+680</f>
        <v>1680</v>
      </c>
      <c r="F9" s="1">
        <f>80+20+70</f>
        <v>170</v>
      </c>
      <c r="G9" s="1"/>
      <c r="H9" s="1"/>
      <c r="I9" s="1">
        <f>75+100</f>
        <v>175</v>
      </c>
      <c r="J9" s="1"/>
      <c r="K9" s="1"/>
      <c r="L9" s="1"/>
      <c r="M9" s="1"/>
      <c r="N9" s="1"/>
      <c r="O9" s="1">
        <f>30+10</f>
        <v>40</v>
      </c>
      <c r="P9" s="1">
        <f>50+100+30</f>
        <v>180</v>
      </c>
      <c r="Q9" s="1">
        <f>30+10</f>
        <v>40</v>
      </c>
      <c r="R9" s="1">
        <f>50+80+30</f>
        <v>160</v>
      </c>
      <c r="S9" s="1"/>
      <c r="T9" s="1">
        <f>50+100+30</f>
        <v>180</v>
      </c>
      <c r="U9" s="1"/>
      <c r="V9" s="1"/>
      <c r="W9" s="1">
        <f>19+30</f>
        <v>49</v>
      </c>
      <c r="X9" s="1"/>
      <c r="Y9" s="1"/>
      <c r="Z9" s="1"/>
      <c r="AA9" s="1"/>
      <c r="AB9" s="3">
        <f>191933+172799+289333</f>
        <v>654065</v>
      </c>
      <c r="AC9" s="3"/>
      <c r="AD9" s="3">
        <f>112632+150107+58987</f>
        <v>321726</v>
      </c>
      <c r="AE9" s="3">
        <f>17474+27591</f>
        <v>45065</v>
      </c>
      <c r="AF9" s="3"/>
      <c r="AG9" s="4">
        <f t="shared" si="0"/>
        <v>1020856</v>
      </c>
    </row>
    <row r="10" spans="1:33" x14ac:dyDescent="0.25">
      <c r="A10" s="1">
        <v>6</v>
      </c>
      <c r="B10" s="2" t="s">
        <v>199</v>
      </c>
      <c r="C10" s="2" t="s">
        <v>200</v>
      </c>
      <c r="D10" s="2" t="s">
        <v>264</v>
      </c>
      <c r="E10" s="1">
        <f>690</f>
        <v>690</v>
      </c>
      <c r="F10" s="1">
        <f>250</f>
        <v>250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>
        <f>300574</f>
        <v>300574</v>
      </c>
      <c r="AC10" s="3"/>
      <c r="AD10" s="3"/>
      <c r="AE10" s="3"/>
      <c r="AF10" s="3"/>
      <c r="AG10" s="4">
        <f t="shared" si="0"/>
        <v>300574</v>
      </c>
    </row>
    <row r="11" spans="1:33" x14ac:dyDescent="0.25">
      <c r="A11" s="1">
        <v>7</v>
      </c>
      <c r="B11" s="2" t="s">
        <v>49</v>
      </c>
      <c r="C11" s="2" t="s">
        <v>50</v>
      </c>
      <c r="D11" s="2" t="s">
        <v>264</v>
      </c>
      <c r="E11" s="1">
        <f>100+600</f>
        <v>700</v>
      </c>
      <c r="F11" s="1">
        <f>100</f>
        <v>100</v>
      </c>
      <c r="G11" s="1">
        <f>10</f>
        <v>10</v>
      </c>
      <c r="H11" s="1"/>
      <c r="I11" s="1">
        <f>40+50</f>
        <v>90</v>
      </c>
      <c r="J11" s="1"/>
      <c r="K11" s="1"/>
      <c r="L11" s="1"/>
      <c r="M11" s="1"/>
      <c r="N11" s="1"/>
      <c r="O11" s="1">
        <f>30+30</f>
        <v>60</v>
      </c>
      <c r="P11" s="1">
        <f>80+30</f>
        <v>110</v>
      </c>
      <c r="Q11" s="1">
        <f>15+50</f>
        <v>65</v>
      </c>
      <c r="R11" s="1">
        <f>80+30</f>
        <v>110</v>
      </c>
      <c r="S11" s="1">
        <f>10+30</f>
        <v>40</v>
      </c>
      <c r="T11" s="1">
        <f>80+40</f>
        <v>120</v>
      </c>
      <c r="U11" s="1"/>
      <c r="V11" s="1"/>
      <c r="W11" s="1">
        <f>50</f>
        <v>50</v>
      </c>
      <c r="X11" s="1"/>
      <c r="Y11" s="1"/>
      <c r="Z11" s="1"/>
      <c r="AA11" s="1"/>
      <c r="AB11" s="3">
        <f>117001+192629</f>
        <v>309630</v>
      </c>
      <c r="AC11" s="3"/>
      <c r="AD11" s="3">
        <f>158196+112674</f>
        <v>270870</v>
      </c>
      <c r="AE11" s="3">
        <f>45099</f>
        <v>45099</v>
      </c>
      <c r="AF11" s="3"/>
      <c r="AG11" s="4">
        <f t="shared" si="0"/>
        <v>625599</v>
      </c>
    </row>
    <row r="12" spans="1:33" x14ac:dyDescent="0.25">
      <c r="A12" s="1">
        <v>8</v>
      </c>
      <c r="B12" s="2" t="s">
        <v>195</v>
      </c>
      <c r="C12" s="2" t="s">
        <v>196</v>
      </c>
      <c r="D12" s="2" t="s">
        <v>264</v>
      </c>
      <c r="E12" s="1"/>
      <c r="F12" s="1">
        <f>50+130</f>
        <v>180</v>
      </c>
      <c r="G12" s="1"/>
      <c r="H12" s="1"/>
      <c r="I12" s="1">
        <f>25+50</f>
        <v>75</v>
      </c>
      <c r="J12" s="1"/>
      <c r="K12" s="1"/>
      <c r="L12" s="1">
        <f>10</f>
        <v>10</v>
      </c>
      <c r="M12" s="1"/>
      <c r="N12" s="1">
        <f>10</f>
        <v>10</v>
      </c>
      <c r="O12" s="1">
        <f>70+50</f>
        <v>120</v>
      </c>
      <c r="P12" s="1">
        <f>80+80</f>
        <v>160</v>
      </c>
      <c r="Q12" s="1">
        <f>60+50</f>
        <v>110</v>
      </c>
      <c r="R12" s="1">
        <f>80+80</f>
        <v>160</v>
      </c>
      <c r="S12" s="1">
        <f>50</f>
        <v>50</v>
      </c>
      <c r="T12" s="1">
        <f>60+100</f>
        <v>160</v>
      </c>
      <c r="U12" s="1"/>
      <c r="V12" s="1"/>
      <c r="W12" s="1">
        <f>50</f>
        <v>50</v>
      </c>
      <c r="X12" s="1">
        <v>5</v>
      </c>
      <c r="Y12" s="1">
        <v>5</v>
      </c>
      <c r="Z12" s="1">
        <v>5</v>
      </c>
      <c r="AA12" s="1">
        <v>5</v>
      </c>
      <c r="AB12" s="3">
        <f>45833+106827</f>
        <v>152660</v>
      </c>
      <c r="AC12" s="3">
        <f>17304</f>
        <v>17304</v>
      </c>
      <c r="AD12" s="3">
        <f>214592+193080</f>
        <v>407672</v>
      </c>
      <c r="AE12" s="3">
        <f>45099</f>
        <v>45099</v>
      </c>
      <c r="AF12" s="3">
        <v>9289</v>
      </c>
      <c r="AG12" s="4">
        <f t="shared" si="0"/>
        <v>632024</v>
      </c>
    </row>
    <row r="13" spans="1:33" x14ac:dyDescent="0.25">
      <c r="A13" s="1">
        <v>9</v>
      </c>
      <c r="B13" s="6" t="s">
        <v>53</v>
      </c>
      <c r="C13" s="2" t="s">
        <v>54</v>
      </c>
      <c r="D13" s="2" t="s">
        <v>265</v>
      </c>
      <c r="E13" s="1">
        <f>600+500+300</f>
        <v>1400</v>
      </c>
      <c r="F13" s="1">
        <f>500+400</f>
        <v>900</v>
      </c>
      <c r="G13" s="1"/>
      <c r="H13" s="1"/>
      <c r="I13" s="1">
        <f>30+25+25</f>
        <v>80</v>
      </c>
      <c r="J13" s="1"/>
      <c r="K13" s="1"/>
      <c r="L13" s="1"/>
      <c r="M13" s="1"/>
      <c r="N13" s="1"/>
      <c r="O13" s="1">
        <f>60</f>
        <v>60</v>
      </c>
      <c r="P13" s="1">
        <f>30+20</f>
        <v>50</v>
      </c>
      <c r="Q13" s="1">
        <f>60</f>
        <v>60</v>
      </c>
      <c r="R13" s="1">
        <f>30+20+20</f>
        <v>70</v>
      </c>
      <c r="S13" s="1">
        <f>25</f>
        <v>25</v>
      </c>
      <c r="T13" s="1">
        <f>30+20+20</f>
        <v>70</v>
      </c>
      <c r="U13" s="1"/>
      <c r="V13" s="1"/>
      <c r="W13" s="1">
        <f>100+100</f>
        <v>200</v>
      </c>
      <c r="X13" s="1"/>
      <c r="Y13" s="1"/>
      <c r="Z13" s="1"/>
      <c r="AA13" s="1"/>
      <c r="AB13" s="3">
        <f>176178+399508+298469</f>
        <v>874155</v>
      </c>
      <c r="AC13" s="3"/>
      <c r="AD13" s="3">
        <f>126106+32166+21444</f>
        <v>179716</v>
      </c>
      <c r="AE13" s="3">
        <f>89279+89279</f>
        <v>178558</v>
      </c>
      <c r="AF13" s="3"/>
      <c r="AG13" s="4">
        <f t="shared" si="0"/>
        <v>1232429</v>
      </c>
    </row>
    <row r="14" spans="1:33" x14ac:dyDescent="0.25">
      <c r="A14" s="1">
        <v>10</v>
      </c>
      <c r="B14" s="6" t="s">
        <v>203</v>
      </c>
      <c r="C14" s="2" t="s">
        <v>204</v>
      </c>
      <c r="D14" s="2" t="s">
        <v>265</v>
      </c>
      <c r="E14" s="1">
        <f>280</f>
        <v>280</v>
      </c>
      <c r="F14" s="1">
        <f>150+110</f>
        <v>260</v>
      </c>
      <c r="G14" s="1"/>
      <c r="H14" s="1"/>
      <c r="I14" s="1">
        <f>10</f>
        <v>10</v>
      </c>
      <c r="J14" s="1"/>
      <c r="K14" s="1">
        <f>5+10</f>
        <v>15</v>
      </c>
      <c r="L14" s="1">
        <f>6+15</f>
        <v>21</v>
      </c>
      <c r="M14" s="1">
        <f>10</f>
        <v>10</v>
      </c>
      <c r="N14" s="1">
        <f>4+15</f>
        <v>19</v>
      </c>
      <c r="O14" s="1">
        <f>30</f>
        <v>30</v>
      </c>
      <c r="P14" s="1">
        <f>10+60</f>
        <v>70</v>
      </c>
      <c r="Q14" s="1">
        <f>30+40</f>
        <v>70</v>
      </c>
      <c r="R14" s="1">
        <f>20+60</f>
        <v>80</v>
      </c>
      <c r="S14" s="1">
        <f>20+15</f>
        <v>35</v>
      </c>
      <c r="T14" s="1">
        <f>30+60</f>
        <v>90</v>
      </c>
      <c r="U14" s="1"/>
      <c r="V14" s="1"/>
      <c r="W14" s="1">
        <v>100</v>
      </c>
      <c r="X14" s="1">
        <f>7+9</f>
        <v>16</v>
      </c>
      <c r="Y14" s="1">
        <f>6+25</f>
        <v>31</v>
      </c>
      <c r="Z14" s="1">
        <f>6+6</f>
        <v>12</v>
      </c>
      <c r="AA14" s="1">
        <f>6+1</f>
        <v>7</v>
      </c>
      <c r="AB14" s="3">
        <f>75808+134519</f>
        <v>210327</v>
      </c>
      <c r="AC14" s="3">
        <f>11902+38954</f>
        <v>50856</v>
      </c>
      <c r="AD14" s="3">
        <f>75122+126029</f>
        <v>201151</v>
      </c>
      <c r="AE14" s="3">
        <f>89349</f>
        <v>89349</v>
      </c>
      <c r="AF14" s="3">
        <f>11168+18317</f>
        <v>29485</v>
      </c>
      <c r="AG14" s="4">
        <f t="shared" si="0"/>
        <v>581168</v>
      </c>
    </row>
    <row r="15" spans="1:33" x14ac:dyDescent="0.25">
      <c r="A15" s="1">
        <v>11</v>
      </c>
      <c r="B15" s="2" t="s">
        <v>55</v>
      </c>
      <c r="C15" s="2" t="s">
        <v>56</v>
      </c>
      <c r="D15" s="2" t="s">
        <v>265</v>
      </c>
      <c r="E15" s="1">
        <f>274+700</f>
        <v>974</v>
      </c>
      <c r="F15" s="1">
        <f>170+30</f>
        <v>200</v>
      </c>
      <c r="G15" s="1">
        <f>20+5</f>
        <v>25</v>
      </c>
      <c r="H15" s="1"/>
      <c r="I15" s="1">
        <f>30+15</f>
        <v>45</v>
      </c>
      <c r="J15" s="1"/>
      <c r="K15" s="1"/>
      <c r="L15" s="1"/>
      <c r="M15" s="1"/>
      <c r="N15" s="1"/>
      <c r="O15" s="1">
        <f>20</f>
        <v>20</v>
      </c>
      <c r="P15" s="1">
        <f>50+30</f>
        <v>80</v>
      </c>
      <c r="Q15" s="1">
        <f>40</f>
        <v>40</v>
      </c>
      <c r="R15" s="1">
        <f>80+50</f>
        <v>130</v>
      </c>
      <c r="S15" s="1">
        <f>20+10</f>
        <v>30</v>
      </c>
      <c r="T15" s="1">
        <f>120+100</f>
        <v>220</v>
      </c>
      <c r="U15" s="1">
        <f>30</f>
        <v>30</v>
      </c>
      <c r="V15" s="1"/>
      <c r="W15" s="1">
        <f>100+30</f>
        <v>130</v>
      </c>
      <c r="X15" s="1"/>
      <c r="Y15" s="1"/>
      <c r="Z15" s="1"/>
      <c r="AA15" s="1"/>
      <c r="AB15" s="3">
        <f>196399+208408</f>
        <v>404807</v>
      </c>
      <c r="AC15" s="3"/>
      <c r="AD15" s="3">
        <f>176981+117975</f>
        <v>294956</v>
      </c>
      <c r="AE15" s="3">
        <f>89278+27591</f>
        <v>116869</v>
      </c>
      <c r="AF15" s="3"/>
      <c r="AG15" s="4">
        <f t="shared" si="0"/>
        <v>816632</v>
      </c>
    </row>
    <row r="16" spans="1:33" x14ac:dyDescent="0.25">
      <c r="A16" s="1">
        <v>12</v>
      </c>
      <c r="B16" s="2" t="s">
        <v>160</v>
      </c>
      <c r="C16" s="2" t="s">
        <v>161</v>
      </c>
      <c r="D16" s="2" t="s">
        <v>265</v>
      </c>
      <c r="E16" s="1">
        <v>500</v>
      </c>
      <c r="F16" s="1">
        <v>200</v>
      </c>
      <c r="G16" s="1"/>
      <c r="H16" s="1"/>
      <c r="I16" s="1">
        <v>130</v>
      </c>
      <c r="J16" s="1"/>
      <c r="K16" s="1"/>
      <c r="L16" s="1">
        <v>5</v>
      </c>
      <c r="M16" s="1"/>
      <c r="N16" s="1">
        <v>5</v>
      </c>
      <c r="O16" s="1">
        <f>55</f>
        <v>55</v>
      </c>
      <c r="P16" s="1">
        <f>100</f>
        <v>100</v>
      </c>
      <c r="Q16" s="1">
        <f>55</f>
        <v>55</v>
      </c>
      <c r="R16" s="1">
        <f>160</f>
        <v>160</v>
      </c>
      <c r="S16" s="1"/>
      <c r="T16" s="1">
        <f>160</f>
        <v>160</v>
      </c>
      <c r="U16" s="1">
        <v>50</v>
      </c>
      <c r="V16" s="1"/>
      <c r="W16" s="1">
        <f>130+42</f>
        <v>172</v>
      </c>
      <c r="X16" s="1"/>
      <c r="Y16" s="1"/>
      <c r="Z16" s="1"/>
      <c r="AA16" s="1"/>
      <c r="AB16" s="3">
        <v>334258</v>
      </c>
      <c r="AC16" s="3">
        <v>8652</v>
      </c>
      <c r="AD16" s="3">
        <f>284225+26847</f>
        <v>311072</v>
      </c>
      <c r="AE16" s="3">
        <f>116063+38627</f>
        <v>154690</v>
      </c>
      <c r="AF16" s="3"/>
      <c r="AG16" s="4">
        <f t="shared" si="0"/>
        <v>808672</v>
      </c>
    </row>
    <row r="17" spans="1:33" x14ac:dyDescent="0.25">
      <c r="A17" s="1">
        <v>13</v>
      </c>
      <c r="B17" s="2" t="s">
        <v>59</v>
      </c>
      <c r="C17" s="2" t="s">
        <v>60</v>
      </c>
      <c r="D17" s="2" t="s">
        <v>265</v>
      </c>
      <c r="E17" s="1">
        <f>300+200</f>
        <v>500</v>
      </c>
      <c r="F17" s="1">
        <f>45+70</f>
        <v>115</v>
      </c>
      <c r="G17" s="1">
        <f>20+20</f>
        <v>40</v>
      </c>
      <c r="H17" s="1"/>
      <c r="I17" s="1">
        <f>25+70</f>
        <v>95</v>
      </c>
      <c r="J17" s="1"/>
      <c r="K17" s="1">
        <f>5</f>
        <v>5</v>
      </c>
      <c r="L17" s="1">
        <f>5</f>
        <v>5</v>
      </c>
      <c r="M17" s="1">
        <f>5</f>
        <v>5</v>
      </c>
      <c r="N17" s="1">
        <f>5</f>
        <v>5</v>
      </c>
      <c r="O17" s="1">
        <f>20+20</f>
        <v>40</v>
      </c>
      <c r="P17" s="1">
        <f>50+30</f>
        <v>80</v>
      </c>
      <c r="Q17" s="1">
        <f>20+20</f>
        <v>40</v>
      </c>
      <c r="R17" s="1">
        <f>30+50</f>
        <v>80</v>
      </c>
      <c r="S17" s="1">
        <v>20</v>
      </c>
      <c r="T17" s="1">
        <f>70+60</f>
        <v>130</v>
      </c>
      <c r="U17" s="1">
        <v>30</v>
      </c>
      <c r="V17" s="1"/>
      <c r="W17" s="1">
        <f>70+30</f>
        <v>100</v>
      </c>
      <c r="X17" s="1">
        <v>5</v>
      </c>
      <c r="Y17" s="1">
        <v>5</v>
      </c>
      <c r="Z17" s="1">
        <v>5</v>
      </c>
      <c r="AA17" s="1">
        <v>5</v>
      </c>
      <c r="AB17" s="3">
        <f>135678+160077</f>
        <v>295755</v>
      </c>
      <c r="AC17" s="3">
        <f>15152</f>
        <v>15152</v>
      </c>
      <c r="AD17" s="3">
        <f>101893+123379</f>
        <v>225272</v>
      </c>
      <c r="AE17" s="3">
        <f>63139+27591</f>
        <v>90730</v>
      </c>
      <c r="AF17" s="3">
        <v>9288</v>
      </c>
      <c r="AG17" s="4">
        <f t="shared" si="0"/>
        <v>636197</v>
      </c>
    </row>
    <row r="18" spans="1:33" x14ac:dyDescent="0.25">
      <c r="A18" s="1">
        <v>14</v>
      </c>
      <c r="B18" s="2" t="s">
        <v>61</v>
      </c>
      <c r="C18" s="2" t="s">
        <v>62</v>
      </c>
      <c r="D18" s="2" t="s">
        <v>265</v>
      </c>
      <c r="E18" s="1">
        <f>614+660</f>
        <v>1274</v>
      </c>
      <c r="F18" s="1">
        <f>100+320</f>
        <v>420</v>
      </c>
      <c r="G18" s="1">
        <f>5</f>
        <v>5</v>
      </c>
      <c r="H18" s="1">
        <f>10</f>
        <v>10</v>
      </c>
      <c r="I18" s="1">
        <f>100+160</f>
        <v>260</v>
      </c>
      <c r="J18" s="1"/>
      <c r="K18" s="1">
        <f>10</f>
        <v>10</v>
      </c>
      <c r="L18" s="1"/>
      <c r="M18" s="1">
        <f>10</f>
        <v>10</v>
      </c>
      <c r="N18" s="1"/>
      <c r="O18" s="1">
        <f>15</f>
        <v>15</v>
      </c>
      <c r="P18" s="1">
        <f>40</f>
        <v>40</v>
      </c>
      <c r="Q18" s="1">
        <f>15</f>
        <v>15</v>
      </c>
      <c r="R18" s="1">
        <f>50</f>
        <v>50</v>
      </c>
      <c r="S18" s="1">
        <f>15</f>
        <v>15</v>
      </c>
      <c r="T18" s="1">
        <f>15+15</f>
        <v>30</v>
      </c>
      <c r="U18" s="1"/>
      <c r="V18" s="1"/>
      <c r="W18" s="1">
        <f>50+50</f>
        <v>100</v>
      </c>
      <c r="X18" s="1"/>
      <c r="Y18" s="1"/>
      <c r="Z18" s="1"/>
      <c r="AA18" s="1"/>
      <c r="AB18" s="3">
        <f>291984+465797</f>
        <v>757781</v>
      </c>
      <c r="AC18" s="3">
        <f>12999</f>
        <v>12999</v>
      </c>
      <c r="AD18" s="3">
        <f>80453+8360</f>
        <v>88813</v>
      </c>
      <c r="AE18" s="3">
        <f>45100+45099</f>
        <v>90199</v>
      </c>
      <c r="AF18" s="3"/>
      <c r="AG18" s="4">
        <f t="shared" si="0"/>
        <v>949792</v>
      </c>
    </row>
    <row r="19" spans="1:33" x14ac:dyDescent="0.25">
      <c r="A19" s="1">
        <v>15</v>
      </c>
      <c r="B19" s="2" t="s">
        <v>63</v>
      </c>
      <c r="C19" s="2" t="s">
        <v>64</v>
      </c>
      <c r="D19" s="2" t="s">
        <v>265</v>
      </c>
      <c r="E19" s="1">
        <f>800+650</f>
        <v>1450</v>
      </c>
      <c r="F19" s="1">
        <f>120+80</f>
        <v>200</v>
      </c>
      <c r="G19" s="1">
        <f>5+8</f>
        <v>13</v>
      </c>
      <c r="H19" s="1">
        <f>3</f>
        <v>3</v>
      </c>
      <c r="I19" s="1">
        <f>5+12</f>
        <v>17</v>
      </c>
      <c r="J19" s="1"/>
      <c r="K19" s="1">
        <f>12+12</f>
        <v>24</v>
      </c>
      <c r="L19" s="1"/>
      <c r="M19" s="1">
        <f>12+12</f>
        <v>24</v>
      </c>
      <c r="N19" s="1">
        <v>4</v>
      </c>
      <c r="O19" s="1">
        <f>10+20</f>
        <v>30</v>
      </c>
      <c r="P19" s="1">
        <f>20</f>
        <v>20</v>
      </c>
      <c r="Q19" s="1">
        <f>10+20</f>
        <v>30</v>
      </c>
      <c r="R19" s="1">
        <f>10+20</f>
        <v>30</v>
      </c>
      <c r="S19" s="1">
        <f>5</f>
        <v>5</v>
      </c>
      <c r="T19" s="1">
        <f>20+40</f>
        <v>60</v>
      </c>
      <c r="U19" s="1"/>
      <c r="V19" s="1"/>
      <c r="W19" s="1">
        <v>50</v>
      </c>
      <c r="X19" s="1">
        <f>6</f>
        <v>6</v>
      </c>
      <c r="Y19" s="1">
        <f>10</f>
        <v>10</v>
      </c>
      <c r="Z19" s="1">
        <f>9</f>
        <v>9</v>
      </c>
      <c r="AA19" s="1"/>
      <c r="AB19" s="3">
        <f>270917+222822</f>
        <v>493739</v>
      </c>
      <c r="AC19" s="3">
        <f>19059+15598</f>
        <v>34657</v>
      </c>
      <c r="AD19" s="3">
        <f>26822+67051</f>
        <v>93873</v>
      </c>
      <c r="AE19" s="3">
        <v>45100</v>
      </c>
      <c r="AF19" s="3">
        <f>11611</f>
        <v>11611</v>
      </c>
      <c r="AG19" s="4">
        <f t="shared" si="0"/>
        <v>678980</v>
      </c>
    </row>
    <row r="20" spans="1:33" x14ac:dyDescent="0.25">
      <c r="A20" s="1">
        <v>16</v>
      </c>
      <c r="B20" s="6" t="s">
        <v>65</v>
      </c>
      <c r="C20" s="2" t="s">
        <v>66</v>
      </c>
      <c r="D20" s="2" t="s">
        <v>265</v>
      </c>
      <c r="E20" s="1">
        <f>1000+810</f>
        <v>1810</v>
      </c>
      <c r="F20" s="1">
        <f>150+300+50</f>
        <v>500</v>
      </c>
      <c r="G20" s="1"/>
      <c r="H20" s="1"/>
      <c r="I20" s="1"/>
      <c r="J20" s="1"/>
      <c r="K20" s="1">
        <f>10</f>
        <v>10</v>
      </c>
      <c r="L20" s="1"/>
      <c r="M20" s="1">
        <f>10</f>
        <v>10</v>
      </c>
      <c r="N20" s="1"/>
      <c r="O20" s="1">
        <f>20</f>
        <v>20</v>
      </c>
      <c r="P20" s="1">
        <f>50+100</f>
        <v>150</v>
      </c>
      <c r="Q20" s="1">
        <f>20</f>
        <v>20</v>
      </c>
      <c r="R20" s="1">
        <f>50+50</f>
        <v>100</v>
      </c>
      <c r="S20" s="1">
        <f>25</f>
        <v>25</v>
      </c>
      <c r="T20" s="1">
        <f>150+125</f>
        <v>275</v>
      </c>
      <c r="U20" s="1">
        <f>30</f>
        <v>30</v>
      </c>
      <c r="V20" s="1"/>
      <c r="W20" s="1">
        <f>110+50</f>
        <v>160</v>
      </c>
      <c r="X20" s="1"/>
      <c r="Y20" s="1"/>
      <c r="Z20" s="1"/>
      <c r="AA20" s="1"/>
      <c r="AB20" s="3">
        <f>328312+372991</f>
        <v>701303</v>
      </c>
      <c r="AC20" s="3">
        <f>12999</f>
        <v>12999</v>
      </c>
      <c r="AD20" s="3">
        <f>168926+163535</f>
        <v>332461</v>
      </c>
      <c r="AE20" s="3">
        <f>98206+45099</f>
        <v>143305</v>
      </c>
      <c r="AF20" s="3"/>
      <c r="AG20" s="4">
        <f t="shared" si="0"/>
        <v>1190068</v>
      </c>
    </row>
    <row r="21" spans="1:33" x14ac:dyDescent="0.25">
      <c r="A21" s="1">
        <v>17</v>
      </c>
      <c r="B21" s="6" t="s">
        <v>67</v>
      </c>
      <c r="C21" s="2" t="s">
        <v>68</v>
      </c>
      <c r="D21" s="2" t="s">
        <v>266</v>
      </c>
      <c r="E21" s="1">
        <v>300</v>
      </c>
      <c r="F21" s="1">
        <v>260</v>
      </c>
      <c r="G21" s="1"/>
      <c r="H21" s="1"/>
      <c r="I21" s="1"/>
      <c r="J21" s="1"/>
      <c r="K21" s="1">
        <v>35</v>
      </c>
      <c r="L21" s="1"/>
      <c r="M21" s="1">
        <v>13</v>
      </c>
      <c r="N21" s="1"/>
      <c r="O21" s="1"/>
      <c r="P21" s="1">
        <v>30</v>
      </c>
      <c r="Q21" s="1"/>
      <c r="R21" s="1"/>
      <c r="S21" s="1"/>
      <c r="T21" s="1">
        <v>30</v>
      </c>
      <c r="U21" s="1"/>
      <c r="V21" s="1">
        <v>20</v>
      </c>
      <c r="W21" s="1">
        <v>20</v>
      </c>
      <c r="X21" s="1"/>
      <c r="Y21" s="1"/>
      <c r="Z21" s="1"/>
      <c r="AA21" s="1"/>
      <c r="AB21" s="3">
        <v>207152</v>
      </c>
      <c r="AC21" s="3">
        <v>31197</v>
      </c>
      <c r="AD21" s="3">
        <v>41101</v>
      </c>
      <c r="AE21" s="3">
        <v>18394</v>
      </c>
      <c r="AF21" s="3"/>
      <c r="AG21" s="4">
        <f t="shared" si="0"/>
        <v>297844</v>
      </c>
    </row>
    <row r="22" spans="1:33" x14ac:dyDescent="0.25">
      <c r="A22" s="1">
        <v>18</v>
      </c>
      <c r="B22" s="6" t="s">
        <v>178</v>
      </c>
      <c r="C22" s="2" t="s">
        <v>70</v>
      </c>
      <c r="D22" s="2" t="s">
        <v>266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3"/>
      <c r="AC22" s="3"/>
      <c r="AD22" s="3"/>
      <c r="AE22" s="3"/>
      <c r="AF22" s="3"/>
      <c r="AG22" s="4">
        <f t="shared" si="0"/>
        <v>0</v>
      </c>
    </row>
    <row r="23" spans="1:33" x14ac:dyDescent="0.25">
      <c r="A23" s="1">
        <v>19</v>
      </c>
      <c r="B23" s="6" t="s">
        <v>194</v>
      </c>
      <c r="C23" s="2" t="s">
        <v>172</v>
      </c>
      <c r="D23" s="2" t="s">
        <v>266</v>
      </c>
      <c r="E23" s="1">
        <f>450+450</f>
        <v>900</v>
      </c>
      <c r="F23" s="1">
        <f>270+275</f>
        <v>545</v>
      </c>
      <c r="G23" s="1">
        <f>70+25</f>
        <v>95</v>
      </c>
      <c r="H23" s="1"/>
      <c r="I23" s="1">
        <f>25</f>
        <v>25</v>
      </c>
      <c r="J23" s="1"/>
      <c r="K23" s="1">
        <f>25+13</f>
        <v>38</v>
      </c>
      <c r="L23" s="1"/>
      <c r="M23" s="1">
        <f>25+13</f>
        <v>38</v>
      </c>
      <c r="N23" s="1"/>
      <c r="O23" s="1">
        <f>10+20</f>
        <v>30</v>
      </c>
      <c r="P23" s="1"/>
      <c r="Q23" s="1">
        <f>5</f>
        <v>5</v>
      </c>
      <c r="R23" s="1"/>
      <c r="S23" s="1"/>
      <c r="T23" s="1">
        <f>10</f>
        <v>10</v>
      </c>
      <c r="U23" s="1"/>
      <c r="V23" s="1"/>
      <c r="W23" s="1"/>
      <c r="X23" s="1"/>
      <c r="Y23" s="1"/>
      <c r="Z23" s="1"/>
      <c r="AA23" s="1"/>
      <c r="AB23" s="3">
        <f>308258+293948</f>
        <v>602206</v>
      </c>
      <c r="AC23" s="3">
        <f>32497+16899</f>
        <v>49396</v>
      </c>
      <c r="AD23" s="3">
        <f>11147+13424</f>
        <v>24571</v>
      </c>
      <c r="AE23" s="3"/>
      <c r="AF23" s="3"/>
      <c r="AG23" s="4">
        <f t="shared" si="0"/>
        <v>676173</v>
      </c>
    </row>
    <row r="24" spans="1:33" x14ac:dyDescent="0.25">
      <c r="A24" s="1">
        <v>20</v>
      </c>
      <c r="B24" s="6" t="s">
        <v>191</v>
      </c>
      <c r="C24" s="2" t="s">
        <v>192</v>
      </c>
      <c r="D24" s="2" t="s">
        <v>266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33"/>
      <c r="AC24" s="3"/>
      <c r="AD24" s="3"/>
      <c r="AE24" s="3"/>
      <c r="AF24" s="3"/>
      <c r="AG24" s="4">
        <f t="shared" si="0"/>
        <v>0</v>
      </c>
    </row>
    <row r="25" spans="1:33" x14ac:dyDescent="0.25">
      <c r="A25" s="1">
        <v>21</v>
      </c>
      <c r="B25" s="6" t="s">
        <v>229</v>
      </c>
      <c r="C25" s="2" t="s">
        <v>230</v>
      </c>
      <c r="D25" s="2" t="s">
        <v>266</v>
      </c>
      <c r="E25" s="1">
        <v>300</v>
      </c>
      <c r="F25" s="1">
        <v>200</v>
      </c>
      <c r="G25" s="1"/>
      <c r="H25" s="1"/>
      <c r="I25" s="1"/>
      <c r="J25" s="1"/>
      <c r="K25" s="1"/>
      <c r="L25" s="1"/>
      <c r="M25" s="1"/>
      <c r="N25" s="1"/>
      <c r="O25" s="1"/>
      <c r="P25" s="1">
        <v>50</v>
      </c>
      <c r="Q25" s="1"/>
      <c r="R25" s="1">
        <v>50</v>
      </c>
      <c r="S25" s="1"/>
      <c r="T25" s="1">
        <v>50</v>
      </c>
      <c r="U25" s="1"/>
      <c r="V25" s="1">
        <v>30</v>
      </c>
      <c r="W25" s="1">
        <v>100</v>
      </c>
      <c r="X25" s="1">
        <v>35</v>
      </c>
      <c r="Y25" s="1"/>
      <c r="Z25" s="1">
        <v>30</v>
      </c>
      <c r="AA25" s="1"/>
      <c r="AB25" s="3">
        <v>176828</v>
      </c>
      <c r="AC25" s="3"/>
      <c r="AD25" s="3">
        <v>96498</v>
      </c>
      <c r="AE25" s="3">
        <v>89279</v>
      </c>
      <c r="AF25" s="3">
        <v>29038</v>
      </c>
      <c r="AG25" s="4">
        <f t="shared" si="0"/>
        <v>391643</v>
      </c>
    </row>
    <row r="26" spans="1:33" x14ac:dyDescent="0.25">
      <c r="A26" s="1">
        <v>22</v>
      </c>
      <c r="B26" s="6" t="s">
        <v>244</v>
      </c>
      <c r="C26" s="2" t="s">
        <v>245</v>
      </c>
      <c r="D26" s="2" t="s">
        <v>266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"/>
      <c r="AC26" s="3"/>
      <c r="AD26" s="3"/>
      <c r="AE26" s="3"/>
      <c r="AF26" s="3"/>
      <c r="AG26" s="4">
        <f t="shared" si="0"/>
        <v>0</v>
      </c>
    </row>
    <row r="27" spans="1:33" x14ac:dyDescent="0.25">
      <c r="A27" s="1">
        <v>23</v>
      </c>
      <c r="B27" s="2" t="s">
        <v>71</v>
      </c>
      <c r="C27" s="2" t="s">
        <v>72</v>
      </c>
      <c r="D27" s="2" t="s">
        <v>267</v>
      </c>
      <c r="E27" s="1">
        <f>400+450</f>
        <v>850</v>
      </c>
      <c r="F27" s="1">
        <f>200+225</f>
        <v>425</v>
      </c>
      <c r="G27" s="1">
        <f>50+30</f>
        <v>80</v>
      </c>
      <c r="H27" s="1">
        <f>30+20</f>
        <v>50</v>
      </c>
      <c r="I27" s="1">
        <f>50+40</f>
        <v>90</v>
      </c>
      <c r="J27" s="1"/>
      <c r="K27" s="1">
        <f>2</f>
        <v>2</v>
      </c>
      <c r="L27" s="1">
        <f>2</f>
        <v>2</v>
      </c>
      <c r="M27" s="1">
        <f>2</f>
        <v>2</v>
      </c>
      <c r="N27" s="1">
        <f>2</f>
        <v>2</v>
      </c>
      <c r="O27" s="1">
        <f>15+15</f>
        <v>30</v>
      </c>
      <c r="P27" s="1">
        <f>20+60</f>
        <v>80</v>
      </c>
      <c r="Q27" s="1">
        <f>15+15</f>
        <v>30</v>
      </c>
      <c r="R27" s="1">
        <f>20+60</f>
        <v>80</v>
      </c>
      <c r="S27" s="1">
        <f>15+15</f>
        <v>30</v>
      </c>
      <c r="T27" s="1">
        <f>20+60</f>
        <v>80</v>
      </c>
      <c r="U27" s="1"/>
      <c r="V27" s="1"/>
      <c r="W27" s="1">
        <f>100+100</f>
        <v>200</v>
      </c>
      <c r="X27" s="1">
        <f>3+1</f>
        <v>4</v>
      </c>
      <c r="Y27" s="1">
        <f t="shared" ref="Y27:AA27" si="1">3+1</f>
        <v>4</v>
      </c>
      <c r="Z27" s="1">
        <f t="shared" si="1"/>
        <v>4</v>
      </c>
      <c r="AA27" s="1">
        <f t="shared" si="1"/>
        <v>4</v>
      </c>
      <c r="AB27" s="3">
        <f>300848+295274</f>
        <v>596122</v>
      </c>
      <c r="AC27" s="3">
        <f>6061</f>
        <v>6061</v>
      </c>
      <c r="AD27" s="3">
        <f>56328+120661</f>
        <v>176989</v>
      </c>
      <c r="AE27" s="3">
        <f>89349+89279</f>
        <v>178628</v>
      </c>
      <c r="AF27" s="3">
        <f>5574+1857</f>
        <v>7431</v>
      </c>
      <c r="AG27" s="4">
        <f t="shared" si="0"/>
        <v>965231</v>
      </c>
    </row>
    <row r="28" spans="1:33" x14ac:dyDescent="0.25">
      <c r="A28" s="1">
        <v>24</v>
      </c>
      <c r="B28" s="2" t="s">
        <v>73</v>
      </c>
      <c r="C28" s="2" t="s">
        <v>74</v>
      </c>
      <c r="D28" s="2" t="s">
        <v>267</v>
      </c>
      <c r="E28" s="1">
        <f>400+300</f>
        <v>700</v>
      </c>
      <c r="F28" s="1">
        <f>130+100</f>
        <v>230</v>
      </c>
      <c r="G28" s="1"/>
      <c r="H28" s="1"/>
      <c r="I28" s="1">
        <f>35+20</f>
        <v>55</v>
      </c>
      <c r="J28" s="1"/>
      <c r="K28" s="1"/>
      <c r="L28" s="1"/>
      <c r="M28" s="1"/>
      <c r="N28" s="1"/>
      <c r="O28" s="1">
        <f>10</f>
        <v>10</v>
      </c>
      <c r="P28" s="1">
        <f>10+10</f>
        <v>20</v>
      </c>
      <c r="Q28" s="1">
        <f>10</f>
        <v>10</v>
      </c>
      <c r="R28" s="1">
        <f>10+5</f>
        <v>15</v>
      </c>
      <c r="S28" s="1">
        <f>10</f>
        <v>10</v>
      </c>
      <c r="T28" s="1">
        <v>15</v>
      </c>
      <c r="U28" s="1"/>
      <c r="V28" s="1">
        <v>15</v>
      </c>
      <c r="W28" s="1">
        <f>50+90</f>
        <v>140</v>
      </c>
      <c r="X28" s="1">
        <f>10+14</f>
        <v>24</v>
      </c>
      <c r="Y28" s="1">
        <f>10+14</f>
        <v>24</v>
      </c>
      <c r="Z28" s="1">
        <f>10+14</f>
        <v>24</v>
      </c>
      <c r="AA28" s="1">
        <f>10</f>
        <v>10</v>
      </c>
      <c r="AB28" s="3">
        <f>195491+142741</f>
        <v>338232</v>
      </c>
      <c r="AC28" s="3"/>
      <c r="AD28" s="3">
        <f>26831+22784</f>
        <v>49615</v>
      </c>
      <c r="AE28" s="3">
        <f>45099+81179</f>
        <v>126278</v>
      </c>
      <c r="AF28" s="3">
        <f>17869+18763</f>
        <v>36632</v>
      </c>
      <c r="AG28" s="4">
        <f t="shared" si="0"/>
        <v>550757</v>
      </c>
    </row>
    <row r="29" spans="1:33" x14ac:dyDescent="0.25">
      <c r="A29" s="1">
        <v>25</v>
      </c>
      <c r="B29" s="2" t="s">
        <v>75</v>
      </c>
      <c r="C29" s="2" t="s">
        <v>76</v>
      </c>
      <c r="D29" s="2" t="s">
        <v>267</v>
      </c>
      <c r="E29" s="7">
        <f>200+600</f>
        <v>800</v>
      </c>
      <c r="F29" s="7">
        <f>30+10</f>
        <v>40</v>
      </c>
      <c r="G29" s="7"/>
      <c r="H29" s="7">
        <v>5</v>
      </c>
      <c r="I29" s="7">
        <f>10+5</f>
        <v>15</v>
      </c>
      <c r="J29" s="7"/>
      <c r="K29" s="7"/>
      <c r="L29" s="7"/>
      <c r="M29" s="7"/>
      <c r="N29" s="7"/>
      <c r="O29" s="7">
        <f>30+50</f>
        <v>80</v>
      </c>
      <c r="P29" s="7">
        <f>30+30</f>
        <v>60</v>
      </c>
      <c r="Q29" s="7"/>
      <c r="R29" s="7">
        <f>10+50</f>
        <v>60</v>
      </c>
      <c r="S29" s="7">
        <f>15+30</f>
        <v>45</v>
      </c>
      <c r="T29" s="7">
        <v>20</v>
      </c>
      <c r="U29" s="7"/>
      <c r="V29" s="7"/>
      <c r="W29" s="7">
        <f>200</f>
        <v>200</v>
      </c>
      <c r="X29" s="7">
        <f>5+25</f>
        <v>30</v>
      </c>
      <c r="Y29" s="7">
        <v>25</v>
      </c>
      <c r="Z29" s="7">
        <v>25</v>
      </c>
      <c r="AA29" s="7">
        <f>5+8</f>
        <v>13</v>
      </c>
      <c r="AB29" s="8">
        <f>73887+163577</f>
        <v>237464</v>
      </c>
      <c r="AC29" s="8"/>
      <c r="AD29" s="8">
        <f>45607+96566</f>
        <v>142173</v>
      </c>
      <c r="AE29" s="8">
        <f>178699</f>
        <v>178699</v>
      </c>
      <c r="AF29" s="8">
        <f>4645+37080</f>
        <v>41725</v>
      </c>
      <c r="AG29" s="4">
        <f t="shared" si="0"/>
        <v>600061</v>
      </c>
    </row>
    <row r="30" spans="1:33" x14ac:dyDescent="0.25">
      <c r="A30" s="1">
        <v>26</v>
      </c>
      <c r="B30" s="2" t="s">
        <v>181</v>
      </c>
      <c r="C30" s="2" t="s">
        <v>182</v>
      </c>
      <c r="D30" s="2" t="s">
        <v>267</v>
      </c>
      <c r="E30" s="7">
        <f>350</f>
        <v>350</v>
      </c>
      <c r="F30" s="7">
        <f>250</f>
        <v>250</v>
      </c>
      <c r="G30" s="7">
        <f>100</f>
        <v>100</v>
      </c>
      <c r="H30" s="7"/>
      <c r="I30" s="7"/>
      <c r="J30" s="7"/>
      <c r="K30" s="7"/>
      <c r="L30" s="7"/>
      <c r="M30" s="7"/>
      <c r="N30" s="7"/>
      <c r="O30" s="7">
        <f>10</f>
        <v>10</v>
      </c>
      <c r="P30" s="7">
        <f>10</f>
        <v>10</v>
      </c>
      <c r="Q30" s="7">
        <f>10</f>
        <v>10</v>
      </c>
      <c r="R30" s="7">
        <f>10</f>
        <v>10</v>
      </c>
      <c r="S30" s="7"/>
      <c r="T30" s="7"/>
      <c r="U30" s="7"/>
      <c r="V30" s="7"/>
      <c r="W30" s="7">
        <f>10</f>
        <v>10</v>
      </c>
      <c r="X30" s="7"/>
      <c r="Y30" s="7"/>
      <c r="Z30" s="7"/>
      <c r="AA30" s="7">
        <f>6</f>
        <v>6</v>
      </c>
      <c r="AB30" s="8">
        <f>297833</f>
        <v>297833</v>
      </c>
      <c r="AC30" s="8"/>
      <c r="AD30" s="8">
        <f>21461</f>
        <v>21461</v>
      </c>
      <c r="AE30" s="8">
        <f>9197</f>
        <v>9197</v>
      </c>
      <c r="AF30" s="8">
        <f>2786</f>
        <v>2786</v>
      </c>
      <c r="AG30" s="4">
        <f t="shared" si="0"/>
        <v>331277</v>
      </c>
    </row>
    <row r="31" spans="1:33" x14ac:dyDescent="0.25">
      <c r="A31" s="1">
        <v>27</v>
      </c>
      <c r="B31" s="2" t="s">
        <v>193</v>
      </c>
      <c r="C31" s="2" t="s">
        <v>80</v>
      </c>
      <c r="D31" s="2" t="s">
        <v>268</v>
      </c>
      <c r="E31" s="7">
        <f>500</f>
        <v>500</v>
      </c>
      <c r="F31" s="7">
        <f>250</f>
        <v>250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8">
        <f>252599</f>
        <v>252599</v>
      </c>
      <c r="AC31" s="8"/>
      <c r="AD31" s="8"/>
      <c r="AE31" s="8"/>
      <c r="AF31" s="8"/>
      <c r="AG31" s="4">
        <f t="shared" si="0"/>
        <v>252599</v>
      </c>
    </row>
    <row r="32" spans="1:33" x14ac:dyDescent="0.25">
      <c r="A32" s="1">
        <v>28</v>
      </c>
      <c r="B32" s="2" t="s">
        <v>277</v>
      </c>
      <c r="C32" s="2" t="s">
        <v>80</v>
      </c>
      <c r="D32" s="2" t="s">
        <v>268</v>
      </c>
      <c r="E32" s="7">
        <f>500</f>
        <v>500</v>
      </c>
      <c r="F32" s="7"/>
      <c r="G32" s="7">
        <f>10</f>
        <v>10</v>
      </c>
      <c r="H32" s="7"/>
      <c r="I32" s="7">
        <f>20</f>
        <v>20</v>
      </c>
      <c r="J32" s="7"/>
      <c r="K32" s="7">
        <f>10</f>
        <v>10</v>
      </c>
      <c r="L32" s="7">
        <f>10</f>
        <v>10</v>
      </c>
      <c r="M32" s="7">
        <f>10</f>
        <v>10</v>
      </c>
      <c r="N32" s="7">
        <f>10</f>
        <v>10</v>
      </c>
      <c r="O32" s="7">
        <f>120</f>
        <v>120</v>
      </c>
      <c r="P32" s="7">
        <f>60</f>
        <v>60</v>
      </c>
      <c r="Q32" s="7">
        <f>100</f>
        <v>100</v>
      </c>
      <c r="R32" s="7">
        <f>50</f>
        <v>50</v>
      </c>
      <c r="S32" s="7">
        <f>20</f>
        <v>20</v>
      </c>
      <c r="T32" s="7">
        <f>50</f>
        <v>50</v>
      </c>
      <c r="U32" s="7"/>
      <c r="V32" s="7"/>
      <c r="W32" s="7"/>
      <c r="X32" s="7"/>
      <c r="Y32" s="7"/>
      <c r="Z32" s="7"/>
      <c r="AA32" s="7"/>
      <c r="AB32" s="8">
        <f>151014</f>
        <v>151014</v>
      </c>
      <c r="AC32" s="8">
        <f>30302</f>
        <v>30302</v>
      </c>
      <c r="AD32" s="8">
        <f>218041</f>
        <v>218041</v>
      </c>
      <c r="AE32" s="8"/>
      <c r="AF32" s="8"/>
      <c r="AG32" s="4">
        <f t="shared" si="0"/>
        <v>399357</v>
      </c>
    </row>
    <row r="33" spans="1:33" x14ac:dyDescent="0.25">
      <c r="A33" s="1">
        <v>29</v>
      </c>
      <c r="B33" s="2" t="s">
        <v>81</v>
      </c>
      <c r="C33" s="2" t="s">
        <v>82</v>
      </c>
      <c r="D33" s="2" t="s">
        <v>268</v>
      </c>
      <c r="E33" s="1">
        <f>440+470+700+600</f>
        <v>2210</v>
      </c>
      <c r="F33" s="1">
        <f>150+250+298+250</f>
        <v>948</v>
      </c>
      <c r="G33" s="1"/>
      <c r="H33" s="1">
        <f>25</f>
        <v>25</v>
      </c>
      <c r="I33" s="1">
        <f>25+50+50+5</f>
        <v>130</v>
      </c>
      <c r="J33" s="1"/>
      <c r="K33" s="1">
        <v>5</v>
      </c>
      <c r="L33" s="1">
        <v>2</v>
      </c>
      <c r="M33" s="1">
        <v>5</v>
      </c>
      <c r="N33" s="1">
        <v>2</v>
      </c>
      <c r="O33" s="1">
        <f>120+90+75</f>
        <v>285</v>
      </c>
      <c r="P33" s="1">
        <f>40+15+10+10</f>
        <v>75</v>
      </c>
      <c r="Q33" s="1">
        <f>80+60+75</f>
        <v>215</v>
      </c>
      <c r="R33" s="1">
        <f>40+15+10+10</f>
        <v>75</v>
      </c>
      <c r="S33" s="1">
        <f>80</f>
        <v>80</v>
      </c>
      <c r="T33" s="1">
        <f>10</f>
        <v>10</v>
      </c>
      <c r="U33" s="1"/>
      <c r="V33" s="1"/>
      <c r="W33" s="1"/>
      <c r="X33" s="1"/>
      <c r="Y33" s="1"/>
      <c r="Z33" s="1"/>
      <c r="AA33" s="1"/>
      <c r="AB33" s="3">
        <f>207473+304791+368484+281961</f>
        <v>1162709</v>
      </c>
      <c r="AC33" s="3">
        <v>9961</v>
      </c>
      <c r="AD33" s="3">
        <f>193233+96625+16083+91264</f>
        <v>397205</v>
      </c>
      <c r="AE33" s="3"/>
      <c r="AF33" s="3"/>
      <c r="AG33" s="4">
        <f t="shared" si="0"/>
        <v>1569875</v>
      </c>
    </row>
    <row r="34" spans="1:33" x14ac:dyDescent="0.25">
      <c r="A34" s="1">
        <v>30</v>
      </c>
      <c r="B34" s="2" t="s">
        <v>281</v>
      </c>
      <c r="C34" s="2" t="s">
        <v>184</v>
      </c>
      <c r="D34" s="2" t="s">
        <v>268</v>
      </c>
      <c r="E34" s="1"/>
      <c r="F34" s="1">
        <f>70+120</f>
        <v>190</v>
      </c>
      <c r="G34" s="1">
        <f>20+20</f>
        <v>40</v>
      </c>
      <c r="H34" s="1"/>
      <c r="I34" s="1">
        <f>80+60</f>
        <v>140</v>
      </c>
      <c r="J34" s="1"/>
      <c r="K34" s="1"/>
      <c r="L34" s="1"/>
      <c r="M34" s="1"/>
      <c r="N34" s="1"/>
      <c r="O34" s="1">
        <f>50+50</f>
        <v>100</v>
      </c>
      <c r="P34" s="1">
        <f>80</f>
        <v>80</v>
      </c>
      <c r="Q34" s="1">
        <f>50+50</f>
        <v>100</v>
      </c>
      <c r="R34" s="1">
        <f>80</f>
        <v>80</v>
      </c>
      <c r="S34" s="1"/>
      <c r="T34" s="1">
        <f>80</f>
        <v>80</v>
      </c>
      <c r="U34" s="1"/>
      <c r="V34" s="1"/>
      <c r="W34" s="1"/>
      <c r="X34" s="1"/>
      <c r="Y34" s="1"/>
      <c r="Z34" s="1"/>
      <c r="AA34" s="1"/>
      <c r="AB34" s="3">
        <f>117801+126620</f>
        <v>244421</v>
      </c>
      <c r="AC34" s="3"/>
      <c r="AD34" s="3">
        <f>182358+53695</f>
        <v>236053</v>
      </c>
      <c r="AE34" s="3"/>
      <c r="AF34" s="3"/>
      <c r="AG34" s="4">
        <f t="shared" si="0"/>
        <v>480474</v>
      </c>
    </row>
    <row r="35" spans="1:33" x14ac:dyDescent="0.25">
      <c r="A35" s="1">
        <v>31</v>
      </c>
      <c r="B35" s="2" t="s">
        <v>227</v>
      </c>
      <c r="C35" s="2" t="s">
        <v>157</v>
      </c>
      <c r="D35" s="2" t="s">
        <v>268</v>
      </c>
      <c r="E35" s="1">
        <f>400+350</f>
        <v>750</v>
      </c>
      <c r="F35" s="1">
        <f>100+100</f>
        <v>200</v>
      </c>
      <c r="G35" s="1">
        <f>27+40</f>
        <v>67</v>
      </c>
      <c r="H35" s="1"/>
      <c r="I35" s="1">
        <f>70+70</f>
        <v>140</v>
      </c>
      <c r="J35" s="1"/>
      <c r="K35" s="1">
        <f>15+10</f>
        <v>25</v>
      </c>
      <c r="L35" s="1"/>
      <c r="M35" s="1">
        <f>15+10</f>
        <v>25</v>
      </c>
      <c r="N35" s="1"/>
      <c r="O35" s="1">
        <f>40+50</f>
        <v>90</v>
      </c>
      <c r="P35" s="1">
        <f>80+70</f>
        <v>150</v>
      </c>
      <c r="Q35" s="1">
        <f>40+50</f>
        <v>90</v>
      </c>
      <c r="R35" s="1">
        <f>80+70</f>
        <v>150</v>
      </c>
      <c r="S35" s="1">
        <f>20+30</f>
        <v>50</v>
      </c>
      <c r="T35" s="1">
        <f>80+70</f>
        <v>150</v>
      </c>
      <c r="U35" s="1"/>
      <c r="V35" s="1"/>
      <c r="W35" s="1">
        <f>20</f>
        <v>20</v>
      </c>
      <c r="X35" s="1">
        <f>10</f>
        <v>10</v>
      </c>
      <c r="Y35" s="1">
        <f>10</f>
        <v>10</v>
      </c>
      <c r="Z35" s="1">
        <f>10</f>
        <v>10</v>
      </c>
      <c r="AA35" s="1">
        <f>10</f>
        <v>10</v>
      </c>
      <c r="AB35" s="3">
        <f>231557+229736</f>
        <v>461293</v>
      </c>
      <c r="AC35" s="3">
        <f>19498+12999</f>
        <v>32497</v>
      </c>
      <c r="AD35" s="3">
        <f>182358+182384</f>
        <v>364742</v>
      </c>
      <c r="AE35" s="3">
        <f>18394</f>
        <v>18394</v>
      </c>
      <c r="AF35" s="3">
        <f>17869</f>
        <v>17869</v>
      </c>
      <c r="AG35" s="4">
        <f t="shared" si="0"/>
        <v>894795</v>
      </c>
    </row>
    <row r="36" spans="1:33" x14ac:dyDescent="0.25">
      <c r="A36" s="1">
        <v>32</v>
      </c>
      <c r="B36" s="2" t="s">
        <v>218</v>
      </c>
      <c r="C36" s="2" t="s">
        <v>219</v>
      </c>
      <c r="D36" s="2" t="s">
        <v>268</v>
      </c>
      <c r="E36" s="1">
        <f>200</f>
        <v>200</v>
      </c>
      <c r="F36" s="1">
        <f>50</f>
        <v>50</v>
      </c>
      <c r="G36" s="1">
        <f>30</f>
        <v>30</v>
      </c>
      <c r="H36" s="1"/>
      <c r="I36" s="1">
        <f>50</f>
        <v>50</v>
      </c>
      <c r="J36" s="1"/>
      <c r="K36" s="1"/>
      <c r="L36" s="1"/>
      <c r="M36" s="1"/>
      <c r="N36" s="1"/>
      <c r="O36" s="1">
        <f>20</f>
        <v>20</v>
      </c>
      <c r="P36" s="1">
        <f>130</f>
        <v>130</v>
      </c>
      <c r="Q36" s="1">
        <f>20</f>
        <v>20</v>
      </c>
      <c r="R36" s="1">
        <f>130</f>
        <v>130</v>
      </c>
      <c r="S36" s="1">
        <f>10</f>
        <v>10</v>
      </c>
      <c r="T36" s="1">
        <f>130</f>
        <v>130</v>
      </c>
      <c r="U36" s="1"/>
      <c r="V36" s="1"/>
      <c r="W36" s="1">
        <f>3</f>
        <v>3</v>
      </c>
      <c r="X36" s="1">
        <f>5</f>
        <v>5</v>
      </c>
      <c r="Y36" s="1">
        <f>5</f>
        <v>5</v>
      </c>
      <c r="Z36" s="1">
        <f>5</f>
        <v>5</v>
      </c>
      <c r="AA36" s="1">
        <f>5</f>
        <v>5</v>
      </c>
      <c r="AB36" s="3">
        <f>141829</f>
        <v>141829</v>
      </c>
      <c r="AC36" s="3"/>
      <c r="AD36" s="3">
        <f>235926</f>
        <v>235926</v>
      </c>
      <c r="AE36" s="3">
        <f>2759</f>
        <v>2759</v>
      </c>
      <c r="AF36" s="3">
        <f>9289</f>
        <v>9289</v>
      </c>
      <c r="AG36" s="4">
        <f t="shared" si="0"/>
        <v>389803</v>
      </c>
    </row>
    <row r="37" spans="1:33" x14ac:dyDescent="0.25">
      <c r="A37" s="1">
        <v>33</v>
      </c>
      <c r="B37" s="2" t="s">
        <v>197</v>
      </c>
      <c r="C37" s="2" t="s">
        <v>198</v>
      </c>
      <c r="D37" s="2" t="s">
        <v>268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"/>
      <c r="AC37" s="3"/>
      <c r="AD37" s="3"/>
      <c r="AE37" s="3"/>
      <c r="AF37" s="3"/>
      <c r="AG37" s="4">
        <f t="shared" si="0"/>
        <v>0</v>
      </c>
    </row>
    <row r="38" spans="1:33" x14ac:dyDescent="0.25">
      <c r="A38" s="1">
        <v>34</v>
      </c>
      <c r="B38" s="5" t="s">
        <v>262</v>
      </c>
      <c r="C38" s="5" t="s">
        <v>207</v>
      </c>
      <c r="D38" s="2" t="s">
        <v>268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"/>
      <c r="AC38" s="3"/>
      <c r="AD38" s="3"/>
      <c r="AE38" s="3"/>
      <c r="AF38" s="3"/>
      <c r="AG38" s="4">
        <f t="shared" si="0"/>
        <v>0</v>
      </c>
    </row>
    <row r="39" spans="1:33" x14ac:dyDescent="0.25">
      <c r="A39" s="1">
        <v>35</v>
      </c>
      <c r="B39" s="2" t="s">
        <v>209</v>
      </c>
      <c r="C39" s="2" t="s">
        <v>208</v>
      </c>
      <c r="D39" s="2" t="s">
        <v>268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"/>
      <c r="AC39" s="3"/>
      <c r="AD39" s="3"/>
      <c r="AE39" s="3"/>
      <c r="AF39" s="3"/>
      <c r="AG39" s="4">
        <f t="shared" si="0"/>
        <v>0</v>
      </c>
    </row>
    <row r="40" spans="1:33" x14ac:dyDescent="0.25">
      <c r="A40" s="1">
        <v>36</v>
      </c>
      <c r="B40" s="2" t="s">
        <v>216</v>
      </c>
      <c r="C40" s="2" t="s">
        <v>217</v>
      </c>
      <c r="D40" s="2" t="s">
        <v>268</v>
      </c>
      <c r="E40" s="1">
        <v>150</v>
      </c>
      <c r="F40" s="1">
        <f>20</f>
        <v>20</v>
      </c>
      <c r="G40" s="1">
        <f>9</f>
        <v>9</v>
      </c>
      <c r="H40" s="1"/>
      <c r="I40" s="1">
        <v>100</v>
      </c>
      <c r="J40" s="1"/>
      <c r="K40" s="1"/>
      <c r="L40" s="1"/>
      <c r="M40" s="1"/>
      <c r="N40" s="1"/>
      <c r="O40" s="1">
        <f>60</f>
        <v>60</v>
      </c>
      <c r="P40" s="1">
        <f>70+120</f>
        <v>190</v>
      </c>
      <c r="Q40" s="1">
        <f>80</f>
        <v>80</v>
      </c>
      <c r="R40" s="1">
        <f>150</f>
        <v>150</v>
      </c>
      <c r="S40" s="1"/>
      <c r="T40" s="1">
        <f>111</f>
        <v>111</v>
      </c>
      <c r="U40" s="1"/>
      <c r="V40" s="1"/>
      <c r="W40" s="1"/>
      <c r="X40" s="1">
        <v>15</v>
      </c>
      <c r="Y40" s="1">
        <v>15</v>
      </c>
      <c r="Z40" s="1">
        <v>15</v>
      </c>
      <c r="AA40" s="1">
        <f>19+7</f>
        <v>26</v>
      </c>
      <c r="AB40" s="3">
        <f>17588+120128</f>
        <v>137716</v>
      </c>
      <c r="AC40" s="3"/>
      <c r="AD40" s="3">
        <f>252621+64332</f>
        <v>316953</v>
      </c>
      <c r="AE40" s="3"/>
      <c r="AF40" s="3">
        <f>8824+23231</f>
        <v>32055</v>
      </c>
      <c r="AG40" s="4">
        <f t="shared" si="0"/>
        <v>486724</v>
      </c>
    </row>
    <row r="41" spans="1:33" x14ac:dyDescent="0.25">
      <c r="A41" s="1">
        <v>37</v>
      </c>
      <c r="B41" s="2" t="s">
        <v>221</v>
      </c>
      <c r="C41" s="2" t="s">
        <v>222</v>
      </c>
      <c r="D41" s="2" t="s">
        <v>268</v>
      </c>
      <c r="E41" s="1">
        <v>50</v>
      </c>
      <c r="F41" s="1">
        <f>50+150</f>
        <v>200</v>
      </c>
      <c r="G41" s="1">
        <f>100</f>
        <v>100</v>
      </c>
      <c r="H41" s="1"/>
      <c r="I41" s="1">
        <f>70+95</f>
        <v>165</v>
      </c>
      <c r="J41" s="1"/>
      <c r="K41" s="1">
        <f>100</f>
        <v>100</v>
      </c>
      <c r="L41" s="1">
        <f>20</f>
        <v>20</v>
      </c>
      <c r="M41" s="1">
        <f>100</f>
        <v>100</v>
      </c>
      <c r="N41" s="1">
        <f>20</f>
        <v>20</v>
      </c>
      <c r="O41" s="1">
        <f>100+150</f>
        <v>250</v>
      </c>
      <c r="P41" s="1">
        <f>100+80</f>
        <v>180</v>
      </c>
      <c r="Q41" s="1">
        <f>100+130</f>
        <v>230</v>
      </c>
      <c r="R41" s="1">
        <f>100+70</f>
        <v>170</v>
      </c>
      <c r="S41" s="1">
        <v>80</v>
      </c>
      <c r="T41" s="1">
        <f>100+70</f>
        <v>170</v>
      </c>
      <c r="U41" s="1"/>
      <c r="V41" s="1"/>
      <c r="W41" s="1"/>
      <c r="X41" s="1">
        <v>20</v>
      </c>
      <c r="Y41" s="1"/>
      <c r="Z41" s="1">
        <v>20</v>
      </c>
      <c r="AA41" s="1"/>
      <c r="AB41" s="3">
        <f>165956+166573</f>
        <v>332529</v>
      </c>
      <c r="AC41" s="3">
        <f>164596</f>
        <v>164596</v>
      </c>
      <c r="AD41" s="3">
        <f>268218+311243</f>
        <v>579461</v>
      </c>
      <c r="AE41" s="3"/>
      <c r="AF41" s="3">
        <v>17870</v>
      </c>
      <c r="AG41" s="4">
        <f t="shared" si="0"/>
        <v>1094456</v>
      </c>
    </row>
    <row r="42" spans="1:33" x14ac:dyDescent="0.25">
      <c r="A42" s="1">
        <v>38</v>
      </c>
      <c r="B42" s="2" t="s">
        <v>231</v>
      </c>
      <c r="C42" s="2" t="s">
        <v>232</v>
      </c>
      <c r="D42" s="2" t="s">
        <v>268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3"/>
      <c r="AC42" s="3"/>
      <c r="AD42" s="3"/>
      <c r="AE42" s="3"/>
      <c r="AF42" s="3"/>
      <c r="AG42" s="4">
        <f t="shared" si="0"/>
        <v>0</v>
      </c>
    </row>
    <row r="43" spans="1:33" x14ac:dyDescent="0.25">
      <c r="A43" s="1">
        <v>39</v>
      </c>
      <c r="B43" s="2" t="s">
        <v>248</v>
      </c>
      <c r="C43" s="2" t="s">
        <v>249</v>
      </c>
      <c r="D43" s="2" t="s">
        <v>268</v>
      </c>
      <c r="E43" s="1">
        <f>406</f>
        <v>406</v>
      </c>
      <c r="F43" s="1">
        <f>100</f>
        <v>100</v>
      </c>
      <c r="G43" s="1">
        <f>50</f>
        <v>50</v>
      </c>
      <c r="H43" s="1"/>
      <c r="I43" s="1"/>
      <c r="J43" s="1"/>
      <c r="K43" s="1"/>
      <c r="L43" s="1"/>
      <c r="M43" s="1"/>
      <c r="N43" s="1"/>
      <c r="O43" s="1">
        <f>100</f>
        <v>100</v>
      </c>
      <c r="P43" s="1">
        <f>75</f>
        <v>75</v>
      </c>
      <c r="Q43" s="1">
        <f>100</f>
        <v>100</v>
      </c>
      <c r="R43" s="1">
        <f>75</f>
        <v>75</v>
      </c>
      <c r="S43" s="1">
        <f>30</f>
        <v>30</v>
      </c>
      <c r="T43" s="1">
        <f>75</f>
        <v>75</v>
      </c>
      <c r="U43" s="1"/>
      <c r="V43" s="1"/>
      <c r="W43" s="1"/>
      <c r="X43" s="1"/>
      <c r="Y43" s="1"/>
      <c r="Z43" s="1"/>
      <c r="AA43" s="1"/>
      <c r="AB43" s="3">
        <f>194610</f>
        <v>194610</v>
      </c>
      <c r="AC43" s="3"/>
      <c r="AD43" s="3">
        <f>244120</f>
        <v>244120</v>
      </c>
      <c r="AE43" s="3"/>
      <c r="AF43" s="3"/>
      <c r="AG43" s="4">
        <f t="shared" si="0"/>
        <v>438730</v>
      </c>
    </row>
    <row r="44" spans="1:33" x14ac:dyDescent="0.25">
      <c r="A44" s="1">
        <v>40</v>
      </c>
      <c r="B44" s="2" t="s">
        <v>279</v>
      </c>
      <c r="C44" s="2" t="s">
        <v>280</v>
      </c>
      <c r="D44" s="2" t="s">
        <v>268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3"/>
      <c r="AC44" s="3"/>
      <c r="AD44" s="3"/>
      <c r="AE44" s="3"/>
      <c r="AF44" s="3"/>
      <c r="AG44" s="4">
        <f t="shared" si="0"/>
        <v>0</v>
      </c>
    </row>
    <row r="45" spans="1:33" x14ac:dyDescent="0.25">
      <c r="A45" s="1">
        <v>41</v>
      </c>
      <c r="B45" s="2" t="s">
        <v>286</v>
      </c>
      <c r="C45" s="2" t="s">
        <v>287</v>
      </c>
      <c r="D45" s="2" t="s">
        <v>268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3"/>
      <c r="AC45" s="3"/>
      <c r="AD45" s="3"/>
      <c r="AE45" s="3"/>
      <c r="AF45" s="3"/>
      <c r="AG45" s="4">
        <f t="shared" si="0"/>
        <v>0</v>
      </c>
    </row>
    <row r="46" spans="1:33" x14ac:dyDescent="0.25">
      <c r="A46" s="1">
        <v>42</v>
      </c>
      <c r="B46" s="34" t="s">
        <v>251</v>
      </c>
      <c r="C46" s="34" t="s">
        <v>163</v>
      </c>
      <c r="D46" s="34" t="s">
        <v>269</v>
      </c>
      <c r="E46" s="1">
        <f>400</f>
        <v>400</v>
      </c>
      <c r="F46" s="1"/>
      <c r="G46" s="1"/>
      <c r="H46" s="1"/>
      <c r="I46" s="1"/>
      <c r="J46" s="1"/>
      <c r="K46" s="1">
        <f>20</f>
        <v>20</v>
      </c>
      <c r="L46" s="1">
        <f>15</f>
        <v>15</v>
      </c>
      <c r="M46" s="1">
        <f>20</f>
        <v>20</v>
      </c>
      <c r="N46" s="1"/>
      <c r="O46" s="1">
        <f>60</f>
        <v>60</v>
      </c>
      <c r="P46" s="1">
        <f>30</f>
        <v>30</v>
      </c>
      <c r="Q46" s="1">
        <f>30</f>
        <v>30</v>
      </c>
      <c r="R46" s="1">
        <f>30</f>
        <v>30</v>
      </c>
      <c r="S46" s="1">
        <f>30</f>
        <v>30</v>
      </c>
      <c r="T46" s="1">
        <f>30</f>
        <v>30</v>
      </c>
      <c r="U46" s="1"/>
      <c r="V46" s="1"/>
      <c r="W46" s="1">
        <f>30</f>
        <v>30</v>
      </c>
      <c r="X46" s="1">
        <f>15</f>
        <v>15</v>
      </c>
      <c r="Y46" s="1">
        <f>15</f>
        <v>15</v>
      </c>
      <c r="Z46" s="1">
        <f>15</f>
        <v>15</v>
      </c>
      <c r="AA46" s="1">
        <f>15</f>
        <v>15</v>
      </c>
      <c r="AB46" s="3">
        <f>102967</f>
        <v>102967</v>
      </c>
      <c r="AC46" s="3">
        <f>39655</f>
        <v>39655</v>
      </c>
      <c r="AD46" s="3">
        <f>112683</f>
        <v>112683</v>
      </c>
      <c r="AE46" s="3">
        <f>27591</f>
        <v>27591</v>
      </c>
      <c r="AF46" s="3">
        <f>26804</f>
        <v>26804</v>
      </c>
      <c r="AG46" s="4">
        <f t="shared" si="0"/>
        <v>309700</v>
      </c>
    </row>
    <row r="47" spans="1:33" x14ac:dyDescent="0.25">
      <c r="A47" s="1">
        <v>43</v>
      </c>
      <c r="B47" s="2" t="s">
        <v>188</v>
      </c>
      <c r="C47" s="2" t="s">
        <v>189</v>
      </c>
      <c r="D47" s="34" t="s">
        <v>269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3"/>
      <c r="AC47" s="3"/>
      <c r="AD47" s="3"/>
      <c r="AE47" s="3"/>
      <c r="AF47" s="3"/>
      <c r="AG47" s="4">
        <f t="shared" si="0"/>
        <v>0</v>
      </c>
    </row>
    <row r="48" spans="1:33" x14ac:dyDescent="0.25">
      <c r="A48" s="1">
        <v>44</v>
      </c>
      <c r="B48" s="2" t="s">
        <v>259</v>
      </c>
      <c r="C48" s="2" t="s">
        <v>260</v>
      </c>
      <c r="D48" s="34" t="s">
        <v>269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3"/>
      <c r="AC48" s="3"/>
      <c r="AD48" s="3"/>
      <c r="AE48" s="3"/>
      <c r="AF48" s="3"/>
      <c r="AG48" s="4">
        <f t="shared" si="0"/>
        <v>0</v>
      </c>
    </row>
    <row r="49" spans="1:33" x14ac:dyDescent="0.25">
      <c r="A49" s="1">
        <v>45</v>
      </c>
      <c r="B49" s="2" t="s">
        <v>236</v>
      </c>
      <c r="C49" s="2" t="s">
        <v>237</v>
      </c>
      <c r="D49" s="2" t="s">
        <v>270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3"/>
      <c r="AC49" s="3"/>
      <c r="AD49" s="3"/>
      <c r="AE49" s="3"/>
      <c r="AF49" s="3"/>
      <c r="AG49" s="4">
        <f t="shared" si="0"/>
        <v>0</v>
      </c>
    </row>
    <row r="50" spans="1:33" x14ac:dyDescent="0.25">
      <c r="A50" s="1">
        <v>46</v>
      </c>
      <c r="B50" s="2" t="s">
        <v>282</v>
      </c>
      <c r="C50" s="2" t="s">
        <v>283</v>
      </c>
      <c r="D50" s="2" t="s">
        <v>270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3"/>
      <c r="AC50" s="3"/>
      <c r="AD50" s="3"/>
      <c r="AE50" s="3"/>
      <c r="AF50" s="3"/>
      <c r="AG50" s="4">
        <f t="shared" si="0"/>
        <v>0</v>
      </c>
    </row>
    <row r="51" spans="1:33" x14ac:dyDescent="0.25">
      <c r="A51" s="1">
        <v>47</v>
      </c>
      <c r="B51" s="2" t="s">
        <v>290</v>
      </c>
      <c r="C51" s="2" t="s">
        <v>291</v>
      </c>
      <c r="D51" s="2" t="s">
        <v>292</v>
      </c>
      <c r="E51" s="1">
        <v>350</v>
      </c>
      <c r="F51" s="1">
        <v>300</v>
      </c>
      <c r="G51" s="1">
        <v>50</v>
      </c>
      <c r="H51" s="1">
        <v>30</v>
      </c>
      <c r="I51" s="1">
        <v>50</v>
      </c>
      <c r="J51" s="1"/>
      <c r="K51" s="1">
        <v>10</v>
      </c>
      <c r="L51" s="1">
        <v>10</v>
      </c>
      <c r="M51" s="1">
        <v>10</v>
      </c>
      <c r="N51" s="1">
        <v>10</v>
      </c>
      <c r="O51" s="1">
        <v>20</v>
      </c>
      <c r="P51" s="1">
        <v>40</v>
      </c>
      <c r="Q51" s="1">
        <v>20</v>
      </c>
      <c r="R51" s="1">
        <v>40</v>
      </c>
      <c r="S51" s="1">
        <v>20</v>
      </c>
      <c r="T51" s="1">
        <v>40</v>
      </c>
      <c r="U51" s="1"/>
      <c r="V51" s="1"/>
      <c r="W51" s="1"/>
      <c r="X51" s="1">
        <v>15</v>
      </c>
      <c r="Y51" s="1">
        <v>15</v>
      </c>
      <c r="Z51" s="1">
        <v>15</v>
      </c>
      <c r="AA51" s="1">
        <v>15</v>
      </c>
      <c r="AB51" s="3">
        <v>346539</v>
      </c>
      <c r="AC51" s="3">
        <v>30855</v>
      </c>
      <c r="AD51" s="3">
        <v>96548</v>
      </c>
      <c r="AE51" s="3"/>
      <c r="AF51" s="3">
        <v>26805</v>
      </c>
      <c r="AG51" s="4">
        <f t="shared" si="0"/>
        <v>500747</v>
      </c>
    </row>
    <row r="52" spans="1:33" x14ac:dyDescent="0.25">
      <c r="A52" s="1">
        <v>48</v>
      </c>
      <c r="B52" s="2" t="s">
        <v>177</v>
      </c>
      <c r="C52" s="2" t="s">
        <v>84</v>
      </c>
      <c r="D52" s="2" t="s">
        <v>271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3"/>
      <c r="AC52" s="3"/>
      <c r="AD52" s="3"/>
      <c r="AE52" s="3"/>
      <c r="AF52" s="3"/>
      <c r="AG52" s="4">
        <f t="shared" si="0"/>
        <v>0</v>
      </c>
    </row>
    <row r="53" spans="1:33" x14ac:dyDescent="0.25">
      <c r="A53" s="1">
        <v>49</v>
      </c>
      <c r="B53" s="2" t="s">
        <v>213</v>
      </c>
      <c r="C53" s="2" t="s">
        <v>84</v>
      </c>
      <c r="D53" s="2" t="s">
        <v>271</v>
      </c>
      <c r="E53" s="1">
        <f>400+900</f>
        <v>1300</v>
      </c>
      <c r="F53" s="1">
        <f>600+350</f>
        <v>950</v>
      </c>
      <c r="G53" s="1">
        <f>100</f>
        <v>100</v>
      </c>
      <c r="H53" s="1">
        <f>50</f>
        <v>50</v>
      </c>
      <c r="I53" s="1">
        <f>50</f>
        <v>50</v>
      </c>
      <c r="J53" s="1">
        <f>200</f>
        <v>200</v>
      </c>
      <c r="K53" s="1"/>
      <c r="L53" s="1"/>
      <c r="M53" s="1"/>
      <c r="N53" s="1"/>
      <c r="O53" s="1">
        <f>300</f>
        <v>300</v>
      </c>
      <c r="P53" s="1">
        <f>50+30</f>
        <v>80</v>
      </c>
      <c r="Q53" s="1">
        <f>300</f>
        <v>300</v>
      </c>
      <c r="R53" s="1">
        <f>50</f>
        <v>50</v>
      </c>
      <c r="S53" s="1"/>
      <c r="T53" s="1">
        <f>70</f>
        <v>70</v>
      </c>
      <c r="U53" s="1"/>
      <c r="V53" s="1"/>
      <c r="W53" s="1">
        <f>400+300</f>
        <v>700</v>
      </c>
      <c r="X53" s="1"/>
      <c r="Y53" s="1"/>
      <c r="Z53" s="1"/>
      <c r="AA53" s="1"/>
      <c r="AB53" s="3">
        <f>469779+836754</f>
        <v>1306533</v>
      </c>
      <c r="AC53" s="3"/>
      <c r="AD53" s="3">
        <f>385378+55054</f>
        <v>440432</v>
      </c>
      <c r="AE53" s="3">
        <f>360797+270597</f>
        <v>631394</v>
      </c>
      <c r="AF53" s="3"/>
      <c r="AG53" s="4">
        <f t="shared" si="0"/>
        <v>2378359</v>
      </c>
    </row>
    <row r="54" spans="1:33" x14ac:dyDescent="0.25">
      <c r="A54" s="1">
        <v>50</v>
      </c>
      <c r="B54" s="2" t="s">
        <v>85</v>
      </c>
      <c r="C54" s="2" t="s">
        <v>86</v>
      </c>
      <c r="D54" s="2" t="s">
        <v>271</v>
      </c>
      <c r="E54" s="1">
        <v>400</v>
      </c>
      <c r="F54" s="1">
        <v>125</v>
      </c>
      <c r="G54" s="1"/>
      <c r="H54" s="1">
        <v>50</v>
      </c>
      <c r="I54" s="1"/>
      <c r="J54" s="1"/>
      <c r="K54" s="1"/>
      <c r="L54" s="1"/>
      <c r="M54" s="1"/>
      <c r="N54" s="1"/>
      <c r="O54" s="1">
        <v>100</v>
      </c>
      <c r="P54" s="1"/>
      <c r="Q54" s="1">
        <v>100</v>
      </c>
      <c r="R54" s="1"/>
      <c r="S54" s="1"/>
      <c r="T54" s="1"/>
      <c r="U54" s="1"/>
      <c r="V54" s="1"/>
      <c r="W54" s="1">
        <v>200</v>
      </c>
      <c r="X54" s="1"/>
      <c r="Y54" s="1"/>
      <c r="Z54" s="1"/>
      <c r="AA54" s="1"/>
      <c r="AB54" s="3">
        <v>244805</v>
      </c>
      <c r="AC54" s="3"/>
      <c r="AD54" s="3">
        <v>110108</v>
      </c>
      <c r="AE54" s="3">
        <v>180399</v>
      </c>
      <c r="AF54" s="3"/>
      <c r="AG54" s="4">
        <f t="shared" si="0"/>
        <v>535312</v>
      </c>
    </row>
    <row r="55" spans="1:33" x14ac:dyDescent="0.25">
      <c r="A55" s="1"/>
      <c r="B55" s="28" t="s">
        <v>89</v>
      </c>
      <c r="C55" s="28" t="s">
        <v>90</v>
      </c>
      <c r="D55" s="28" t="s">
        <v>271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"/>
      <c r="AC55" s="3"/>
      <c r="AD55" s="3"/>
      <c r="AE55" s="3"/>
      <c r="AF55" s="3"/>
      <c r="AG55" s="4">
        <f t="shared" si="0"/>
        <v>0</v>
      </c>
    </row>
    <row r="56" spans="1:33" x14ac:dyDescent="0.25">
      <c r="A56" s="1">
        <v>51</v>
      </c>
      <c r="B56" s="5" t="s">
        <v>296</v>
      </c>
      <c r="C56" s="5" t="s">
        <v>90</v>
      </c>
      <c r="D56" s="5" t="s">
        <v>271</v>
      </c>
      <c r="E56" s="1">
        <v>290</v>
      </c>
      <c r="F56" s="1">
        <v>250</v>
      </c>
      <c r="G56" s="1"/>
      <c r="H56" s="1"/>
      <c r="I56" s="1">
        <v>25</v>
      </c>
      <c r="J56" s="1">
        <v>18</v>
      </c>
      <c r="K56" s="1"/>
      <c r="L56" s="1"/>
      <c r="M56" s="1"/>
      <c r="N56" s="1"/>
      <c r="O56" s="1">
        <v>35</v>
      </c>
      <c r="P56" s="1">
        <v>20</v>
      </c>
      <c r="Q56" s="1">
        <v>40</v>
      </c>
      <c r="R56" s="1">
        <v>20</v>
      </c>
      <c r="S56" s="1">
        <v>10</v>
      </c>
      <c r="T56" s="1">
        <v>30</v>
      </c>
      <c r="U56" s="1"/>
      <c r="V56" s="1"/>
      <c r="W56" s="1">
        <v>100</v>
      </c>
      <c r="X56" s="1"/>
      <c r="Y56" s="1"/>
      <c r="Z56" s="1"/>
      <c r="AA56" s="1"/>
      <c r="AB56" s="3">
        <v>327313</v>
      </c>
      <c r="AC56" s="3"/>
      <c r="AD56" s="3">
        <v>85274</v>
      </c>
      <c r="AE56" s="3">
        <v>90199</v>
      </c>
      <c r="AF56" s="3"/>
      <c r="AG56" s="4">
        <f t="shared" si="0"/>
        <v>502786</v>
      </c>
    </row>
    <row r="57" spans="1:33" x14ac:dyDescent="0.25">
      <c r="A57" s="1">
        <v>52</v>
      </c>
      <c r="B57" s="2" t="s">
        <v>91</v>
      </c>
      <c r="C57" s="2" t="s">
        <v>92</v>
      </c>
      <c r="D57" s="2" t="s">
        <v>271</v>
      </c>
      <c r="E57" s="1"/>
      <c r="F57" s="1">
        <v>400</v>
      </c>
      <c r="G57" s="1"/>
      <c r="H57" s="1"/>
      <c r="I57" s="1">
        <v>25</v>
      </c>
      <c r="J57" s="1"/>
      <c r="K57" s="1"/>
      <c r="L57" s="1"/>
      <c r="M57" s="1"/>
      <c r="N57" s="1"/>
      <c r="O57" s="1">
        <v>50</v>
      </c>
      <c r="P57" s="1">
        <v>100</v>
      </c>
      <c r="Q57" s="1">
        <v>40</v>
      </c>
      <c r="R57" s="1">
        <v>10</v>
      </c>
      <c r="S57" s="1"/>
      <c r="T57" s="1">
        <v>20</v>
      </c>
      <c r="U57" s="1"/>
      <c r="V57" s="1"/>
      <c r="W57" s="1">
        <v>200</v>
      </c>
      <c r="X57" s="1"/>
      <c r="Y57" s="1"/>
      <c r="Z57" s="1"/>
      <c r="AA57" s="1"/>
      <c r="AB57" s="3">
        <v>238886</v>
      </c>
      <c r="AC57" s="3"/>
      <c r="AD57" s="3">
        <v>121009</v>
      </c>
      <c r="AE57" s="3">
        <v>180398</v>
      </c>
      <c r="AF57" s="3"/>
      <c r="AG57" s="4">
        <f t="shared" si="0"/>
        <v>540293</v>
      </c>
    </row>
    <row r="58" spans="1:33" x14ac:dyDescent="0.25">
      <c r="A58" s="1">
        <v>53</v>
      </c>
      <c r="B58" s="2" t="s">
        <v>93</v>
      </c>
      <c r="C58" s="2" t="s">
        <v>94</v>
      </c>
      <c r="D58" s="2" t="s">
        <v>271</v>
      </c>
      <c r="E58" s="1">
        <f>1600</f>
        <v>1600</v>
      </c>
      <c r="F58" s="1">
        <f>300</f>
        <v>300</v>
      </c>
      <c r="G58" s="1"/>
      <c r="H58" s="1"/>
      <c r="I58" s="1"/>
      <c r="J58" s="1"/>
      <c r="K58" s="1"/>
      <c r="L58" s="1"/>
      <c r="M58" s="1"/>
      <c r="N58" s="1"/>
      <c r="O58" s="1">
        <f>75</f>
        <v>75</v>
      </c>
      <c r="P58" s="1"/>
      <c r="Q58" s="1">
        <f>75</f>
        <v>75</v>
      </c>
      <c r="R58" s="1"/>
      <c r="S58" s="1"/>
      <c r="T58" s="1"/>
      <c r="U58" s="1"/>
      <c r="V58" s="1"/>
      <c r="W58" s="1">
        <f>104</f>
        <v>104</v>
      </c>
      <c r="X58" s="1"/>
      <c r="Y58" s="1"/>
      <c r="Z58" s="1"/>
      <c r="AA58" s="1"/>
      <c r="AB58" s="3">
        <f>740804</f>
        <v>740804</v>
      </c>
      <c r="AC58" s="3"/>
      <c r="AD58" s="3">
        <f>82581</f>
        <v>82581</v>
      </c>
      <c r="AE58" s="3">
        <f>93807</f>
        <v>93807</v>
      </c>
      <c r="AF58" s="3"/>
      <c r="AG58" s="4">
        <f t="shared" si="0"/>
        <v>917192</v>
      </c>
    </row>
    <row r="59" spans="1:33" x14ac:dyDescent="0.25">
      <c r="A59" s="1">
        <v>54</v>
      </c>
      <c r="B59" s="2" t="s">
        <v>95</v>
      </c>
      <c r="C59" s="2" t="s">
        <v>96</v>
      </c>
      <c r="D59" s="2" t="s">
        <v>271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"/>
      <c r="AC59" s="3"/>
      <c r="AD59" s="3"/>
      <c r="AE59" s="3"/>
      <c r="AF59" s="3"/>
      <c r="AG59" s="4">
        <f t="shared" si="0"/>
        <v>0</v>
      </c>
    </row>
    <row r="60" spans="1:33" x14ac:dyDescent="0.25">
      <c r="A60" s="1">
        <v>55</v>
      </c>
      <c r="B60" s="2" t="s">
        <v>97</v>
      </c>
      <c r="C60" s="2" t="s">
        <v>98</v>
      </c>
      <c r="D60" s="2" t="s">
        <v>271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"/>
      <c r="AC60" s="3"/>
      <c r="AD60" s="3"/>
      <c r="AE60" s="3"/>
      <c r="AF60" s="3"/>
      <c r="AG60" s="4">
        <f t="shared" si="0"/>
        <v>0</v>
      </c>
    </row>
    <row r="61" spans="1:33" x14ac:dyDescent="0.25">
      <c r="A61" s="1">
        <v>56</v>
      </c>
      <c r="B61" s="2" t="s">
        <v>99</v>
      </c>
      <c r="C61" s="2" t="s">
        <v>100</v>
      </c>
      <c r="D61" s="2" t="s">
        <v>271</v>
      </c>
      <c r="E61" s="1">
        <v>500</v>
      </c>
      <c r="F61" s="1">
        <v>1400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200</v>
      </c>
      <c r="X61" s="1"/>
      <c r="Y61" s="1"/>
      <c r="Z61" s="1"/>
      <c r="AA61" s="1"/>
      <c r="AB61" s="3">
        <v>939557</v>
      </c>
      <c r="AC61" s="3"/>
      <c r="AD61" s="3"/>
      <c r="AE61" s="3">
        <v>180398</v>
      </c>
      <c r="AF61" s="3"/>
      <c r="AG61" s="4">
        <f t="shared" si="0"/>
        <v>1119955</v>
      </c>
    </row>
    <row r="62" spans="1:33" x14ac:dyDescent="0.25">
      <c r="A62" s="1">
        <v>57</v>
      </c>
      <c r="B62" s="2" t="s">
        <v>101</v>
      </c>
      <c r="C62" s="2" t="s">
        <v>102</v>
      </c>
      <c r="D62" s="2" t="s">
        <v>271</v>
      </c>
      <c r="E62" s="1">
        <v>250</v>
      </c>
      <c r="F62" s="1">
        <v>250</v>
      </c>
      <c r="G62" s="1"/>
      <c r="H62" s="1"/>
      <c r="I62" s="1"/>
      <c r="J62" s="1">
        <v>30</v>
      </c>
      <c r="K62" s="1">
        <v>3</v>
      </c>
      <c r="L62" s="1">
        <v>5</v>
      </c>
      <c r="M62" s="1">
        <v>3</v>
      </c>
      <c r="N62" s="1"/>
      <c r="O62" s="1">
        <v>75</v>
      </c>
      <c r="P62" s="1"/>
      <c r="Q62" s="1">
        <v>75</v>
      </c>
      <c r="R62" s="1"/>
      <c r="S62" s="1"/>
      <c r="T62" s="1">
        <v>30</v>
      </c>
      <c r="U62" s="1"/>
      <c r="V62" s="1"/>
      <c r="W62" s="1">
        <v>50</v>
      </c>
      <c r="X62" s="1"/>
      <c r="Y62" s="1"/>
      <c r="Z62" s="1"/>
      <c r="AA62" s="1"/>
      <c r="AB62" s="3">
        <v>249257</v>
      </c>
      <c r="AC62" s="3">
        <v>8487</v>
      </c>
      <c r="AD62" s="3">
        <v>99072</v>
      </c>
      <c r="AE62" s="3">
        <v>45525</v>
      </c>
      <c r="AF62" s="3"/>
      <c r="AG62" s="4">
        <f t="shared" si="0"/>
        <v>402341</v>
      </c>
    </row>
    <row r="63" spans="1:33" x14ac:dyDescent="0.25">
      <c r="A63" s="1">
        <v>58</v>
      </c>
      <c r="B63" s="2" t="s">
        <v>103</v>
      </c>
      <c r="C63" s="2" t="s">
        <v>104</v>
      </c>
      <c r="D63" s="2" t="s">
        <v>271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"/>
      <c r="AC63" s="3"/>
      <c r="AD63" s="3"/>
      <c r="AE63" s="3"/>
      <c r="AF63" s="3"/>
      <c r="AG63" s="4">
        <f t="shared" si="0"/>
        <v>0</v>
      </c>
    </row>
    <row r="64" spans="1:33" x14ac:dyDescent="0.25">
      <c r="A64" s="1">
        <v>59</v>
      </c>
      <c r="B64" s="2" t="s">
        <v>201</v>
      </c>
      <c r="C64" s="2" t="s">
        <v>202</v>
      </c>
      <c r="D64" s="2" t="s">
        <v>271</v>
      </c>
      <c r="E64" s="1">
        <f>100</f>
        <v>100</v>
      </c>
      <c r="F64" s="1">
        <f>150</f>
        <v>150</v>
      </c>
      <c r="G64" s="1"/>
      <c r="H64" s="1"/>
      <c r="I64" s="1"/>
      <c r="J64" s="1"/>
      <c r="K64" s="1">
        <f>5</f>
        <v>5</v>
      </c>
      <c r="L64" s="1"/>
      <c r="M64" s="1">
        <f>10</f>
        <v>10</v>
      </c>
      <c r="N64" s="1"/>
      <c r="O64" s="1">
        <f>150</f>
        <v>150</v>
      </c>
      <c r="P64" s="1">
        <f>10</f>
        <v>10</v>
      </c>
      <c r="Q64" s="1">
        <f>150</f>
        <v>150</v>
      </c>
      <c r="R64" s="1">
        <f>10</f>
        <v>10</v>
      </c>
      <c r="S64" s="1"/>
      <c r="T64" s="1">
        <f>10</f>
        <v>10</v>
      </c>
      <c r="U64" s="1"/>
      <c r="V64" s="1"/>
      <c r="W64" s="1">
        <f>100</f>
        <v>100</v>
      </c>
      <c r="X64" s="1"/>
      <c r="Y64" s="1"/>
      <c r="Z64" s="1"/>
      <c r="AA64" s="1"/>
      <c r="AB64" s="3">
        <f>117445</f>
        <v>117445</v>
      </c>
      <c r="AC64" s="3">
        <f>10068</f>
        <v>10068</v>
      </c>
      <c r="AD64" s="3">
        <f>181653</f>
        <v>181653</v>
      </c>
      <c r="AE64" s="3">
        <f>90199</f>
        <v>90199</v>
      </c>
      <c r="AF64" s="3"/>
      <c r="AG64" s="4">
        <f t="shared" si="0"/>
        <v>399365</v>
      </c>
    </row>
    <row r="65" spans="1:33" x14ac:dyDescent="0.25">
      <c r="A65" s="1">
        <v>60</v>
      </c>
      <c r="B65" s="2" t="s">
        <v>169</v>
      </c>
      <c r="C65" s="2" t="s">
        <v>170</v>
      </c>
      <c r="D65" s="2" t="s">
        <v>271</v>
      </c>
      <c r="E65" s="1">
        <f>100</f>
        <v>100</v>
      </c>
      <c r="F65" s="1">
        <f>200</f>
        <v>200</v>
      </c>
      <c r="G65" s="1"/>
      <c r="H65" s="1"/>
      <c r="I65" s="1">
        <f>100</f>
        <v>100</v>
      </c>
      <c r="J65" s="1">
        <f>150</f>
        <v>150</v>
      </c>
      <c r="K65" s="1"/>
      <c r="L65" s="1"/>
      <c r="M65" s="1"/>
      <c r="N65" s="1"/>
      <c r="O65" s="1">
        <f>100</f>
        <v>100</v>
      </c>
      <c r="P65" s="1">
        <f>30</f>
        <v>30</v>
      </c>
      <c r="Q65" s="1">
        <f>100</f>
        <v>100</v>
      </c>
      <c r="R65" s="1">
        <f>40</f>
        <v>40</v>
      </c>
      <c r="S65" s="1">
        <f>10</f>
        <v>10</v>
      </c>
      <c r="T65" s="1">
        <f>20</f>
        <v>20</v>
      </c>
      <c r="U65" s="1"/>
      <c r="V65" s="1"/>
      <c r="W65" s="1">
        <f>100</f>
        <v>100</v>
      </c>
      <c r="X65" s="1"/>
      <c r="Y65" s="1"/>
      <c r="Z65" s="1"/>
      <c r="AA65" s="1"/>
      <c r="AB65" s="3">
        <f>349821</f>
        <v>349821</v>
      </c>
      <c r="AC65" s="3"/>
      <c r="AD65" s="3">
        <f>165085</f>
        <v>165085</v>
      </c>
      <c r="AE65" s="3">
        <f>90199</f>
        <v>90199</v>
      </c>
      <c r="AF65" s="3"/>
      <c r="AG65" s="4">
        <f t="shared" si="0"/>
        <v>605105</v>
      </c>
    </row>
    <row r="66" spans="1:33" x14ac:dyDescent="0.25">
      <c r="A66" s="1">
        <v>61</v>
      </c>
      <c r="B66" s="2" t="s">
        <v>284</v>
      </c>
      <c r="C66" s="2" t="s">
        <v>285</v>
      </c>
      <c r="D66" s="2" t="s">
        <v>271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"/>
      <c r="AC66" s="3"/>
      <c r="AD66" s="3"/>
      <c r="AE66" s="3"/>
      <c r="AF66" s="3"/>
      <c r="AG66" s="4">
        <f t="shared" si="0"/>
        <v>0</v>
      </c>
    </row>
    <row r="67" spans="1:33" x14ac:dyDescent="0.25">
      <c r="A67" s="1">
        <v>62</v>
      </c>
      <c r="B67" s="2" t="s">
        <v>105</v>
      </c>
      <c r="C67" s="2" t="s">
        <v>106</v>
      </c>
      <c r="D67" s="2" t="s">
        <v>272</v>
      </c>
      <c r="E67" s="1">
        <f>600</f>
        <v>600</v>
      </c>
      <c r="F67" s="1">
        <f>100</f>
        <v>100</v>
      </c>
      <c r="G67" s="1"/>
      <c r="H67" s="1"/>
      <c r="I67" s="1"/>
      <c r="J67" s="1"/>
      <c r="K67" s="1"/>
      <c r="L67" s="1"/>
      <c r="M67" s="1"/>
      <c r="N67" s="1"/>
      <c r="O67" s="1">
        <f>400</f>
        <v>400</v>
      </c>
      <c r="P67" s="1">
        <f>150</f>
        <v>150</v>
      </c>
      <c r="Q67" s="1">
        <f>100</f>
        <v>100</v>
      </c>
      <c r="R67" s="1">
        <f>50</f>
        <v>50</v>
      </c>
      <c r="S67" s="1"/>
      <c r="T67" s="1">
        <f>100</f>
        <v>100</v>
      </c>
      <c r="U67" s="1"/>
      <c r="V67" s="1"/>
      <c r="W67" s="1">
        <f>400</f>
        <v>400</v>
      </c>
      <c r="X67" s="1"/>
      <c r="Y67" s="1"/>
      <c r="Z67" s="1"/>
      <c r="AA67" s="1"/>
      <c r="AB67" s="3">
        <f>379436</f>
        <v>379436</v>
      </c>
      <c r="AC67" s="3"/>
      <c r="AD67" s="3">
        <f>440433</f>
        <v>440433</v>
      </c>
      <c r="AE67" s="3">
        <f>360797</f>
        <v>360797</v>
      </c>
      <c r="AF67" s="3"/>
      <c r="AG67" s="4">
        <f t="shared" si="0"/>
        <v>1180666</v>
      </c>
    </row>
    <row r="68" spans="1:33" x14ac:dyDescent="0.25">
      <c r="A68" s="1">
        <v>63</v>
      </c>
      <c r="B68" s="2" t="s">
        <v>109</v>
      </c>
      <c r="C68" s="2" t="s">
        <v>275</v>
      </c>
      <c r="D68" s="2" t="s">
        <v>273</v>
      </c>
      <c r="E68" s="1">
        <v>350</v>
      </c>
      <c r="F68" s="1"/>
      <c r="G68" s="1"/>
      <c r="H68" s="1"/>
      <c r="I68" s="1"/>
      <c r="J68" s="1"/>
      <c r="K68" s="1">
        <v>10</v>
      </c>
      <c r="L68" s="1">
        <v>10</v>
      </c>
      <c r="M68" s="1">
        <v>40</v>
      </c>
      <c r="N68" s="1">
        <v>40</v>
      </c>
      <c r="O68" s="1">
        <v>50</v>
      </c>
      <c r="P68" s="1">
        <v>40</v>
      </c>
      <c r="Q68" s="1">
        <v>50</v>
      </c>
      <c r="R68" s="1">
        <v>40</v>
      </c>
      <c r="S68" s="1">
        <v>20</v>
      </c>
      <c r="T68" s="1">
        <v>60</v>
      </c>
      <c r="U68" s="1">
        <v>40</v>
      </c>
      <c r="V68" s="1"/>
      <c r="W68" s="1">
        <v>60</v>
      </c>
      <c r="X68" s="1">
        <v>20</v>
      </c>
      <c r="Y68" s="1">
        <v>50</v>
      </c>
      <c r="Z68" s="1">
        <v>20</v>
      </c>
      <c r="AA68" s="1">
        <v>30</v>
      </c>
      <c r="AB68" s="33">
        <v>88376</v>
      </c>
      <c r="AC68" s="3">
        <v>75756</v>
      </c>
      <c r="AD68" s="3">
        <v>160965</v>
      </c>
      <c r="AE68" s="3">
        <v>54120</v>
      </c>
      <c r="AF68" s="3">
        <v>53610</v>
      </c>
      <c r="AG68" s="4">
        <f t="shared" si="0"/>
        <v>432827</v>
      </c>
    </row>
    <row r="69" spans="1:33" x14ac:dyDescent="0.25">
      <c r="A69" s="1">
        <v>64</v>
      </c>
      <c r="B69" s="2" t="s">
        <v>179</v>
      </c>
      <c r="C69" s="2" t="s">
        <v>174</v>
      </c>
      <c r="D69" s="2" t="s">
        <v>273</v>
      </c>
      <c r="E69" s="1">
        <f>600</f>
        <v>600</v>
      </c>
      <c r="F69" s="1">
        <f>100</f>
        <v>100</v>
      </c>
      <c r="G69" s="1"/>
      <c r="H69" s="1"/>
      <c r="I69" s="1">
        <f>40</f>
        <v>40</v>
      </c>
      <c r="J69" s="1"/>
      <c r="K69" s="1">
        <f>30</f>
        <v>30</v>
      </c>
      <c r="L69" s="1">
        <f>25</f>
        <v>25</v>
      </c>
      <c r="M69" s="1">
        <f>90</f>
        <v>90</v>
      </c>
      <c r="N69" s="1">
        <f>70</f>
        <v>70</v>
      </c>
      <c r="O69" s="1"/>
      <c r="P69" s="1">
        <v>200</v>
      </c>
      <c r="Q69" s="1"/>
      <c r="R69" s="1">
        <v>200</v>
      </c>
      <c r="S69" s="1"/>
      <c r="T69" s="1">
        <v>250</v>
      </c>
      <c r="U69" s="1">
        <v>30</v>
      </c>
      <c r="V69" s="1"/>
      <c r="W69" s="1">
        <v>60</v>
      </c>
      <c r="X69" s="1">
        <v>15</v>
      </c>
      <c r="Y69" s="1">
        <v>20</v>
      </c>
      <c r="Z69" s="1">
        <v>20</v>
      </c>
      <c r="AA69" s="1">
        <v>35</v>
      </c>
      <c r="AB69" s="3">
        <f>234942</f>
        <v>234942</v>
      </c>
      <c r="AC69" s="3">
        <f>138556+21629</f>
        <v>160185</v>
      </c>
      <c r="AD69" s="3">
        <f>364572</f>
        <v>364572</v>
      </c>
      <c r="AE69" s="3">
        <v>54120</v>
      </c>
      <c r="AF69" s="3">
        <f>40207</f>
        <v>40207</v>
      </c>
      <c r="AG69" s="4">
        <f t="shared" si="0"/>
        <v>854026</v>
      </c>
    </row>
    <row r="70" spans="1:33" x14ac:dyDescent="0.25">
      <c r="A70" s="1">
        <v>65</v>
      </c>
      <c r="B70" s="2" t="s">
        <v>211</v>
      </c>
      <c r="C70" s="2" t="s">
        <v>212</v>
      </c>
      <c r="D70" s="2" t="s">
        <v>273</v>
      </c>
      <c r="E70" s="1"/>
      <c r="F70" s="1"/>
      <c r="G70" s="1">
        <f>5</f>
        <v>5</v>
      </c>
      <c r="H70" s="1"/>
      <c r="I70" s="1"/>
      <c r="J70" s="1"/>
      <c r="K70" s="1"/>
      <c r="L70" s="1"/>
      <c r="M70" s="1"/>
      <c r="N70" s="1"/>
      <c r="O70" s="1">
        <f>60</f>
        <v>60</v>
      </c>
      <c r="P70" s="1">
        <f>150</f>
        <v>150</v>
      </c>
      <c r="Q70" s="1">
        <f>60</f>
        <v>60</v>
      </c>
      <c r="R70" s="1">
        <f>150</f>
        <v>150</v>
      </c>
      <c r="S70" s="1">
        <f>40</f>
        <v>40</v>
      </c>
      <c r="T70" s="1">
        <f>100</f>
        <v>100</v>
      </c>
      <c r="U70" s="1"/>
      <c r="V70" s="1"/>
      <c r="W70" s="1">
        <f>10</f>
        <v>10</v>
      </c>
      <c r="X70" s="1">
        <f>35</f>
        <v>35</v>
      </c>
      <c r="Y70" s="1">
        <f>35</f>
        <v>35</v>
      </c>
      <c r="Z70" s="1">
        <f>35</f>
        <v>35</v>
      </c>
      <c r="AA70" s="1">
        <f>22</f>
        <v>22</v>
      </c>
      <c r="AB70" s="3">
        <f>4155</f>
        <v>4155</v>
      </c>
      <c r="AC70" s="3"/>
      <c r="AD70" s="3">
        <f>300351</f>
        <v>300351</v>
      </c>
      <c r="AE70" s="3">
        <f>9197</f>
        <v>9197</v>
      </c>
      <c r="AF70" s="3">
        <f>56737</f>
        <v>56737</v>
      </c>
      <c r="AG70" s="4">
        <f t="shared" si="0"/>
        <v>370440</v>
      </c>
    </row>
    <row r="71" spans="1:33" x14ac:dyDescent="0.25">
      <c r="A71" s="1">
        <v>66</v>
      </c>
      <c r="B71" s="2" t="s">
        <v>214</v>
      </c>
      <c r="C71" s="2" t="s">
        <v>276</v>
      </c>
      <c r="D71" s="2" t="s">
        <v>273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3"/>
      <c r="AC71" s="3"/>
      <c r="AD71" s="3"/>
      <c r="AE71" s="3"/>
      <c r="AF71" s="3"/>
      <c r="AG71" s="4">
        <f t="shared" si="0"/>
        <v>0</v>
      </c>
    </row>
    <row r="72" spans="1:33" x14ac:dyDescent="0.25">
      <c r="A72" s="1">
        <v>67</v>
      </c>
      <c r="B72" s="5" t="s">
        <v>111</v>
      </c>
      <c r="C72" s="2" t="s">
        <v>112</v>
      </c>
      <c r="D72" s="2" t="s">
        <v>274</v>
      </c>
      <c r="E72" s="1">
        <f>350</f>
        <v>350</v>
      </c>
      <c r="F72" s="1">
        <f>160</f>
        <v>160</v>
      </c>
      <c r="G72" s="1">
        <f>10</f>
        <v>10</v>
      </c>
      <c r="H72" s="1"/>
      <c r="I72" s="1">
        <f>35</f>
        <v>35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>
        <f>50</f>
        <v>50</v>
      </c>
      <c r="X72" s="1"/>
      <c r="Y72" s="1"/>
      <c r="Z72" s="1"/>
      <c r="AA72" s="1"/>
      <c r="AB72" s="3">
        <f>206337</f>
        <v>206337</v>
      </c>
      <c r="AC72" s="3"/>
      <c r="AD72" s="3"/>
      <c r="AE72" s="3">
        <f>45100</f>
        <v>45100</v>
      </c>
      <c r="AF72" s="3"/>
      <c r="AG72" s="4">
        <f t="shared" ref="AG72:AG90" si="2">AB72+AC72+AD72+AF72+AE72</f>
        <v>251437</v>
      </c>
    </row>
    <row r="73" spans="1:33" x14ac:dyDescent="0.25">
      <c r="A73" s="1">
        <v>68</v>
      </c>
      <c r="B73" s="2" t="s">
        <v>113</v>
      </c>
      <c r="C73" s="2" t="s">
        <v>114</v>
      </c>
      <c r="D73" s="2" t="s">
        <v>274</v>
      </c>
      <c r="E73" s="1"/>
      <c r="F73" s="1"/>
      <c r="G73" s="1">
        <v>5</v>
      </c>
      <c r="H73" s="1">
        <v>7</v>
      </c>
      <c r="I73" s="1">
        <v>96</v>
      </c>
      <c r="J73" s="1">
        <v>15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">
        <v>98096</v>
      </c>
      <c r="AC73" s="3"/>
      <c r="AD73" s="3"/>
      <c r="AE73" s="3"/>
      <c r="AF73" s="3"/>
      <c r="AG73" s="4">
        <f t="shared" si="2"/>
        <v>98096</v>
      </c>
    </row>
    <row r="74" spans="1:33" x14ac:dyDescent="0.25">
      <c r="A74" s="1">
        <v>69</v>
      </c>
      <c r="B74" s="2" t="s">
        <v>115</v>
      </c>
      <c r="C74" s="2" t="s">
        <v>116</v>
      </c>
      <c r="D74" s="2" t="s">
        <v>274</v>
      </c>
      <c r="E74" s="1">
        <f>30</f>
        <v>30</v>
      </c>
      <c r="F74" s="1">
        <f>20</f>
        <v>20</v>
      </c>
      <c r="G74" s="1"/>
      <c r="H74" s="1"/>
      <c r="I74" s="1">
        <f>170</f>
        <v>170</v>
      </c>
      <c r="J74" s="1">
        <f>85</f>
        <v>85</v>
      </c>
      <c r="K74" s="1">
        <f>10</f>
        <v>10</v>
      </c>
      <c r="L74" s="1">
        <f>3</f>
        <v>3</v>
      </c>
      <c r="M74" s="1">
        <f>5</f>
        <v>5</v>
      </c>
      <c r="N74" s="1">
        <f>3</f>
        <v>3</v>
      </c>
      <c r="O74" s="1">
        <f>20</f>
        <v>20</v>
      </c>
      <c r="P74" s="1"/>
      <c r="Q74" s="1">
        <f>10</f>
        <v>10</v>
      </c>
      <c r="R74" s="1"/>
      <c r="S74" s="1">
        <f>20</f>
        <v>20</v>
      </c>
      <c r="T74" s="1"/>
      <c r="U74" s="1"/>
      <c r="V74" s="1"/>
      <c r="W74" s="1"/>
      <c r="X74" s="1"/>
      <c r="Y74" s="1"/>
      <c r="Z74" s="1"/>
      <c r="AA74" s="1"/>
      <c r="AB74" s="3">
        <f>219309</f>
        <v>219309</v>
      </c>
      <c r="AC74" s="3">
        <f>14941</f>
        <v>14941</v>
      </c>
      <c r="AD74" s="3">
        <f>26847</f>
        <v>26847</v>
      </c>
      <c r="AE74" s="3"/>
      <c r="AF74" s="3"/>
      <c r="AG74" s="4">
        <f t="shared" si="2"/>
        <v>261097</v>
      </c>
    </row>
    <row r="75" spans="1:33" x14ac:dyDescent="0.25">
      <c r="A75" s="1">
        <v>70</v>
      </c>
      <c r="B75" s="2" t="s">
        <v>158</v>
      </c>
      <c r="C75" s="2" t="s">
        <v>118</v>
      </c>
      <c r="D75" s="2" t="s">
        <v>274</v>
      </c>
      <c r="E75" s="1">
        <f>130+250</f>
        <v>380</v>
      </c>
      <c r="F75" s="1">
        <f>60+150</f>
        <v>210</v>
      </c>
      <c r="G75" s="1"/>
      <c r="H75" s="1"/>
      <c r="I75" s="1"/>
      <c r="J75" s="1"/>
      <c r="K75" s="1">
        <f>10+10</f>
        <v>20</v>
      </c>
      <c r="L75" s="1"/>
      <c r="M75" s="1">
        <f>10+10</f>
        <v>20</v>
      </c>
      <c r="N75" s="1"/>
      <c r="O75" s="1">
        <f>60+150</f>
        <v>210</v>
      </c>
      <c r="P75" s="1">
        <f>30+25</f>
        <v>55</v>
      </c>
      <c r="Q75" s="1">
        <f>60+50</f>
        <v>110</v>
      </c>
      <c r="R75" s="1">
        <f>30+25</f>
        <v>55</v>
      </c>
      <c r="S75" s="1">
        <f>50+40</f>
        <v>90</v>
      </c>
      <c r="T75" s="1">
        <f>30+20</f>
        <v>50</v>
      </c>
      <c r="U75" s="1"/>
      <c r="V75" s="1"/>
      <c r="W75" s="1">
        <f>25</f>
        <v>25</v>
      </c>
      <c r="X75" s="1"/>
      <c r="Y75" s="1"/>
      <c r="Z75" s="1"/>
      <c r="AA75" s="1"/>
      <c r="AB75" s="3">
        <f>63149+138934</f>
        <v>202083</v>
      </c>
      <c r="AC75" s="3">
        <f>12999+12998</f>
        <v>25997</v>
      </c>
      <c r="AD75" s="3">
        <f>139529+166394</f>
        <v>305923</v>
      </c>
      <c r="AE75" s="3">
        <f>22993</f>
        <v>22993</v>
      </c>
      <c r="AF75" s="3"/>
      <c r="AG75" s="4">
        <f t="shared" si="2"/>
        <v>556996</v>
      </c>
    </row>
    <row r="76" spans="1:33" x14ac:dyDescent="0.25">
      <c r="A76" s="1">
        <v>71</v>
      </c>
      <c r="B76" s="2" t="s">
        <v>121</v>
      </c>
      <c r="C76" s="2" t="s">
        <v>122</v>
      </c>
      <c r="D76" s="2" t="s">
        <v>274</v>
      </c>
      <c r="E76" s="1">
        <f>650+400+800</f>
        <v>1850</v>
      </c>
      <c r="F76" s="1">
        <f>140+80+150</f>
        <v>370</v>
      </c>
      <c r="G76" s="1">
        <f>15+15</f>
        <v>30</v>
      </c>
      <c r="H76" s="1">
        <f>3+5</f>
        <v>8</v>
      </c>
      <c r="I76" s="1">
        <f>70+50+80</f>
        <v>200</v>
      </c>
      <c r="J76" s="1"/>
      <c r="K76" s="1">
        <f>10+3+10</f>
        <v>23</v>
      </c>
      <c r="L76" s="1">
        <f>7</f>
        <v>7</v>
      </c>
      <c r="M76" s="1">
        <f>10+3</f>
        <v>13</v>
      </c>
      <c r="N76" s="1">
        <f>5</f>
        <v>5</v>
      </c>
      <c r="O76" s="1">
        <f>100+30</f>
        <v>130</v>
      </c>
      <c r="P76" s="1">
        <f>50+20</f>
        <v>70</v>
      </c>
      <c r="Q76" s="1">
        <f>80+50</f>
        <v>130</v>
      </c>
      <c r="R76" s="1">
        <f>40</f>
        <v>40</v>
      </c>
      <c r="S76" s="1">
        <f>30+40</f>
        <v>70</v>
      </c>
      <c r="T76" s="1">
        <f>40</f>
        <v>40</v>
      </c>
      <c r="U76" s="1"/>
      <c r="V76" s="1"/>
      <c r="W76" s="1">
        <f>50+100+50</f>
        <v>200</v>
      </c>
      <c r="X76" s="1">
        <f>15+5</f>
        <v>20</v>
      </c>
      <c r="Y76" s="1">
        <f>15+10</f>
        <v>25</v>
      </c>
      <c r="Z76" s="1">
        <f>15+10</f>
        <v>25</v>
      </c>
      <c r="AA76" s="1">
        <f>20</f>
        <v>20</v>
      </c>
      <c r="AB76" s="3">
        <f>306669+182559+358988</f>
        <v>848216</v>
      </c>
      <c r="AC76" s="3">
        <f>23381+3899+6499</f>
        <v>33779</v>
      </c>
      <c r="AD76" s="3">
        <f>182452+75156</f>
        <v>257608</v>
      </c>
      <c r="AE76" s="3">
        <f>45100+89279+45099</f>
        <v>179478</v>
      </c>
      <c r="AF76" s="3">
        <f>20104+20104</f>
        <v>40208</v>
      </c>
      <c r="AG76" s="4">
        <f t="shared" si="2"/>
        <v>1359289</v>
      </c>
    </row>
    <row r="77" spans="1:33" x14ac:dyDescent="0.25">
      <c r="A77" s="1">
        <v>72</v>
      </c>
      <c r="B77" s="5" t="s">
        <v>123</v>
      </c>
      <c r="C77" s="2" t="s">
        <v>124</v>
      </c>
      <c r="D77" s="2" t="s">
        <v>274</v>
      </c>
      <c r="E77" s="1"/>
      <c r="F77" s="1">
        <f>50</f>
        <v>50</v>
      </c>
      <c r="G77" s="1"/>
      <c r="H77" s="1"/>
      <c r="I77" s="1">
        <f>65</f>
        <v>65</v>
      </c>
      <c r="J77" s="1"/>
      <c r="K77" s="1"/>
      <c r="L77" s="1"/>
      <c r="M77" s="1"/>
      <c r="N77" s="1"/>
      <c r="O77" s="1">
        <f>40</f>
        <v>40</v>
      </c>
      <c r="P77" s="1">
        <f>30</f>
        <v>30</v>
      </c>
      <c r="Q77" s="1">
        <f>40</f>
        <v>40</v>
      </c>
      <c r="R77" s="1">
        <f>30</f>
        <v>30</v>
      </c>
      <c r="S77" s="1">
        <f>40</f>
        <v>40</v>
      </c>
      <c r="T77" s="1">
        <f>30</f>
        <v>30</v>
      </c>
      <c r="U77" s="1"/>
      <c r="V77" s="1"/>
      <c r="W77" s="1">
        <f>2</f>
        <v>2</v>
      </c>
      <c r="X77" s="1">
        <f>5</f>
        <v>5</v>
      </c>
      <c r="Y77" s="1">
        <f>5</f>
        <v>5</v>
      </c>
      <c r="Z77" s="1">
        <f>5</f>
        <v>5</v>
      </c>
      <c r="AA77" s="1"/>
      <c r="AB77" s="3">
        <f>78734</f>
        <v>78734</v>
      </c>
      <c r="AC77" s="3"/>
      <c r="AD77" s="3">
        <f>112683</f>
        <v>112683</v>
      </c>
      <c r="AE77" s="3">
        <f>1839</f>
        <v>1839</v>
      </c>
      <c r="AF77" s="3">
        <f>6966</f>
        <v>6966</v>
      </c>
      <c r="AG77" s="4">
        <f t="shared" si="2"/>
        <v>200222</v>
      </c>
    </row>
    <row r="78" spans="1:33" x14ac:dyDescent="0.25">
      <c r="A78" s="1">
        <v>73</v>
      </c>
      <c r="B78" s="5" t="s">
        <v>125</v>
      </c>
      <c r="C78" s="2" t="s">
        <v>126</v>
      </c>
      <c r="D78" s="2" t="s">
        <v>274</v>
      </c>
      <c r="E78" s="1">
        <f>110</f>
        <v>110</v>
      </c>
      <c r="F78" s="1"/>
      <c r="G78" s="1"/>
      <c r="H78" s="1"/>
      <c r="I78" s="1">
        <f>90</f>
        <v>90</v>
      </c>
      <c r="J78" s="1"/>
      <c r="K78" s="1">
        <f>2</f>
        <v>2</v>
      </c>
      <c r="L78" s="1"/>
      <c r="M78" s="1">
        <f>2</f>
        <v>2</v>
      </c>
      <c r="N78" s="1"/>
      <c r="O78" s="1">
        <f>100</f>
        <v>100</v>
      </c>
      <c r="P78" s="1">
        <f>30</f>
        <v>30</v>
      </c>
      <c r="Q78" s="1">
        <f>100</f>
        <v>100</v>
      </c>
      <c r="R78" s="1">
        <f>30</f>
        <v>30</v>
      </c>
      <c r="S78" s="1">
        <f>20</f>
        <v>20</v>
      </c>
      <c r="T78" s="1">
        <f>30</f>
        <v>30</v>
      </c>
      <c r="U78" s="1"/>
      <c r="V78" s="1"/>
      <c r="W78" s="1"/>
      <c r="X78" s="1">
        <f>10</f>
        <v>10</v>
      </c>
      <c r="Y78" s="1">
        <f>10</f>
        <v>10</v>
      </c>
      <c r="Z78" s="1">
        <f>5</f>
        <v>5</v>
      </c>
      <c r="AA78" s="1"/>
      <c r="AB78" s="3">
        <f>101803</f>
        <v>101803</v>
      </c>
      <c r="AC78" s="3">
        <f>2600</f>
        <v>2600</v>
      </c>
      <c r="AD78" s="3">
        <f>166377</f>
        <v>166377</v>
      </c>
      <c r="AE78" s="3"/>
      <c r="AF78" s="3">
        <f>11169</f>
        <v>11169</v>
      </c>
      <c r="AG78" s="4">
        <f t="shared" si="2"/>
        <v>281949</v>
      </c>
    </row>
    <row r="79" spans="1:33" x14ac:dyDescent="0.25">
      <c r="A79" s="1">
        <v>74</v>
      </c>
      <c r="B79" s="2" t="s">
        <v>127</v>
      </c>
      <c r="C79" s="2" t="s">
        <v>128</v>
      </c>
      <c r="D79" s="2" t="s">
        <v>274</v>
      </c>
      <c r="E79" s="1">
        <v>380</v>
      </c>
      <c r="F79" s="1">
        <v>125</v>
      </c>
      <c r="G79" s="1"/>
      <c r="H79" s="1">
        <v>5</v>
      </c>
      <c r="I79" s="1">
        <v>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3">
        <v>147555</v>
      </c>
      <c r="AC79" s="3"/>
      <c r="AD79" s="3"/>
      <c r="AE79" s="3"/>
      <c r="AF79" s="3"/>
      <c r="AG79" s="4">
        <f t="shared" si="2"/>
        <v>147555</v>
      </c>
    </row>
    <row r="80" spans="1:33" x14ac:dyDescent="0.25">
      <c r="A80" s="1">
        <v>75</v>
      </c>
      <c r="B80" s="5" t="s">
        <v>131</v>
      </c>
      <c r="C80" s="5" t="s">
        <v>132</v>
      </c>
      <c r="D80" s="2" t="s">
        <v>274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3"/>
      <c r="AC80" s="3"/>
      <c r="AD80" s="3"/>
      <c r="AE80" s="3"/>
      <c r="AF80" s="3"/>
      <c r="AG80" s="4">
        <f t="shared" si="2"/>
        <v>0</v>
      </c>
    </row>
    <row r="81" spans="1:33" x14ac:dyDescent="0.25">
      <c r="A81" s="1">
        <v>76</v>
      </c>
      <c r="B81" s="2" t="s">
        <v>133</v>
      </c>
      <c r="C81" s="2" t="s">
        <v>132</v>
      </c>
      <c r="D81" s="2" t="s">
        <v>274</v>
      </c>
      <c r="E81" s="1">
        <f>50+240</f>
        <v>290</v>
      </c>
      <c r="F81" s="1"/>
      <c r="G81" s="1"/>
      <c r="H81" s="1"/>
      <c r="I81" s="1">
        <f>10+10</f>
        <v>20</v>
      </c>
      <c r="J81" s="1"/>
      <c r="K81" s="1"/>
      <c r="L81" s="1"/>
      <c r="M81" s="1"/>
      <c r="N81" s="1"/>
      <c r="O81" s="1">
        <f>20</f>
        <v>20</v>
      </c>
      <c r="P81" s="1"/>
      <c r="Q81" s="1">
        <f>20</f>
        <v>20</v>
      </c>
      <c r="R81" s="1"/>
      <c r="S81" s="1">
        <f>20</f>
        <v>20</v>
      </c>
      <c r="T81" s="1"/>
      <c r="U81" s="1"/>
      <c r="V81" s="1"/>
      <c r="W81" s="1"/>
      <c r="X81" s="1"/>
      <c r="Y81" s="1"/>
      <c r="Z81" s="1"/>
      <c r="AA81" s="1"/>
      <c r="AB81" s="3">
        <f>16642+48626</f>
        <v>65268</v>
      </c>
      <c r="AC81" s="3"/>
      <c r="AD81" s="3">
        <f>32217</f>
        <v>32217</v>
      </c>
      <c r="AE81" s="3"/>
      <c r="AF81" s="3"/>
      <c r="AG81" s="4">
        <f t="shared" si="2"/>
        <v>97485</v>
      </c>
    </row>
    <row r="82" spans="1:33" x14ac:dyDescent="0.25">
      <c r="A82" s="1">
        <v>77</v>
      </c>
      <c r="B82" s="9" t="s">
        <v>134</v>
      </c>
      <c r="C82" s="2" t="s">
        <v>135</v>
      </c>
      <c r="D82" s="2" t="s">
        <v>274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3"/>
      <c r="AC82" s="3"/>
      <c r="AD82" s="3"/>
      <c r="AE82" s="3"/>
      <c r="AF82" s="3"/>
      <c r="AG82" s="4">
        <f t="shared" si="2"/>
        <v>0</v>
      </c>
    </row>
    <row r="83" spans="1:33" x14ac:dyDescent="0.25">
      <c r="A83" s="1">
        <v>78</v>
      </c>
      <c r="B83" s="9" t="s">
        <v>138</v>
      </c>
      <c r="C83" s="2" t="s">
        <v>139</v>
      </c>
      <c r="D83" s="2" t="s">
        <v>274</v>
      </c>
      <c r="E83" s="1">
        <f>435</f>
        <v>435</v>
      </c>
      <c r="F83" s="1"/>
      <c r="G83" s="1"/>
      <c r="H83" s="1"/>
      <c r="I83" s="1">
        <f>10</f>
        <v>10</v>
      </c>
      <c r="J83" s="1"/>
      <c r="K83" s="1"/>
      <c r="L83" s="1"/>
      <c r="M83" s="1"/>
      <c r="N83" s="1"/>
      <c r="O83" s="1">
        <f>30</f>
        <v>30</v>
      </c>
      <c r="P83" s="1">
        <f>60</f>
        <v>60</v>
      </c>
      <c r="Q83" s="1">
        <f>60</f>
        <v>60</v>
      </c>
      <c r="R83" s="1">
        <f>10</f>
        <v>10</v>
      </c>
      <c r="S83" s="1"/>
      <c r="T83" s="1">
        <f>10</f>
        <v>10</v>
      </c>
      <c r="U83" s="1"/>
      <c r="V83" s="1"/>
      <c r="W83" s="1"/>
      <c r="X83" s="1"/>
      <c r="Y83" s="1"/>
      <c r="Z83" s="1"/>
      <c r="AA83" s="1"/>
      <c r="AB83" s="3">
        <f>118065</f>
        <v>118065</v>
      </c>
      <c r="AC83" s="3"/>
      <c r="AD83" s="3">
        <f>91213</f>
        <v>91213</v>
      </c>
      <c r="AE83" s="3"/>
      <c r="AF83" s="3"/>
      <c r="AG83" s="4">
        <f t="shared" si="2"/>
        <v>209278</v>
      </c>
    </row>
    <row r="84" spans="1:33" x14ac:dyDescent="0.25">
      <c r="A84" s="1">
        <v>79</v>
      </c>
      <c r="B84" s="9" t="s">
        <v>234</v>
      </c>
      <c r="C84" s="2" t="s">
        <v>235</v>
      </c>
      <c r="D84" s="2" t="s">
        <v>274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3"/>
      <c r="AC84" s="3"/>
      <c r="AD84" s="3"/>
      <c r="AE84" s="3"/>
      <c r="AF84" s="3"/>
      <c r="AG84" s="4">
        <f t="shared" si="2"/>
        <v>0</v>
      </c>
    </row>
    <row r="85" spans="1:33" x14ac:dyDescent="0.25">
      <c r="A85" s="1">
        <v>80</v>
      </c>
      <c r="B85" s="9" t="s">
        <v>289</v>
      </c>
      <c r="C85" s="2" t="s">
        <v>247</v>
      </c>
      <c r="D85" s="2" t="s">
        <v>274</v>
      </c>
      <c r="E85" s="1">
        <f>170</f>
        <v>170</v>
      </c>
      <c r="F85" s="1">
        <f>100</f>
        <v>100</v>
      </c>
      <c r="G85" s="1">
        <f>30</f>
        <v>30</v>
      </c>
      <c r="H85" s="1"/>
      <c r="I85" s="1"/>
      <c r="J85" s="1"/>
      <c r="K85" s="1">
        <f>15</f>
        <v>15</v>
      </c>
      <c r="L85" s="1">
        <f>12</f>
        <v>12</v>
      </c>
      <c r="M85" s="1">
        <f>15</f>
        <v>15</v>
      </c>
      <c r="N85" s="1">
        <f>8</f>
        <v>8</v>
      </c>
      <c r="O85" s="1">
        <f>10</f>
        <v>10</v>
      </c>
      <c r="P85" s="1">
        <f>10</f>
        <v>10</v>
      </c>
      <c r="Q85" s="1">
        <f>10</f>
        <v>10</v>
      </c>
      <c r="R85" s="1">
        <f>5</f>
        <v>5</v>
      </c>
      <c r="S85" s="1">
        <f>10</f>
        <v>10</v>
      </c>
      <c r="T85" s="1">
        <f>5</f>
        <v>5</v>
      </c>
      <c r="U85" s="1"/>
      <c r="V85" s="1"/>
      <c r="W85" s="1"/>
      <c r="X85" s="1">
        <f>10</f>
        <v>10</v>
      </c>
      <c r="Y85" s="1">
        <f>10</f>
        <v>10</v>
      </c>
      <c r="Z85" s="1">
        <f>10</f>
        <v>10</v>
      </c>
      <c r="AA85" s="1">
        <f>10</f>
        <v>10</v>
      </c>
      <c r="AB85" s="3">
        <f>118397</f>
        <v>118397</v>
      </c>
      <c r="AC85" s="3">
        <f>36802</f>
        <v>36802</v>
      </c>
      <c r="AD85" s="3">
        <f>26831</f>
        <v>26831</v>
      </c>
      <c r="AE85" s="3"/>
      <c r="AF85" s="3">
        <f>17869</f>
        <v>17869</v>
      </c>
      <c r="AG85" s="4">
        <f t="shared" si="2"/>
        <v>199899</v>
      </c>
    </row>
    <row r="86" spans="1:33" x14ac:dyDescent="0.25">
      <c r="A86" s="1">
        <v>81</v>
      </c>
      <c r="B86" s="9" t="s">
        <v>294</v>
      </c>
      <c r="C86" s="2" t="s">
        <v>295</v>
      </c>
      <c r="D86" s="2" t="s">
        <v>274</v>
      </c>
      <c r="E86" s="1">
        <v>110</v>
      </c>
      <c r="F86" s="1">
        <v>80</v>
      </c>
      <c r="G86" s="1"/>
      <c r="H86" s="1"/>
      <c r="I86" s="1">
        <v>25</v>
      </c>
      <c r="J86" s="1"/>
      <c r="K86" s="1">
        <v>5</v>
      </c>
      <c r="L86" s="1">
        <v>5</v>
      </c>
      <c r="M86" s="1">
        <v>5</v>
      </c>
      <c r="N86" s="1">
        <v>5</v>
      </c>
      <c r="O86" s="1">
        <v>40</v>
      </c>
      <c r="P86" s="1">
        <v>75</v>
      </c>
      <c r="Q86" s="1">
        <v>50</v>
      </c>
      <c r="R86" s="1">
        <v>60</v>
      </c>
      <c r="S86" s="1">
        <v>10</v>
      </c>
      <c r="T86" s="1">
        <v>60</v>
      </c>
      <c r="U86" s="1">
        <v>30</v>
      </c>
      <c r="V86" s="1"/>
      <c r="W86" s="1">
        <v>10</v>
      </c>
      <c r="X86" s="1">
        <v>30</v>
      </c>
      <c r="Y86" s="1">
        <v>30</v>
      </c>
      <c r="Z86" s="1">
        <v>25</v>
      </c>
      <c r="AA86" s="1"/>
      <c r="AB86" s="3">
        <v>88769</v>
      </c>
      <c r="AC86" s="3">
        <v>15151</v>
      </c>
      <c r="AD86" s="3">
        <v>174342</v>
      </c>
      <c r="AE86" s="3">
        <v>9197</v>
      </c>
      <c r="AF86" s="3">
        <v>37974</v>
      </c>
      <c r="AG86" s="4">
        <f t="shared" si="2"/>
        <v>325433</v>
      </c>
    </row>
    <row r="87" spans="1:33" x14ac:dyDescent="0.25">
      <c r="A87" s="1">
        <v>82</v>
      </c>
      <c r="B87" s="9" t="s">
        <v>142</v>
      </c>
      <c r="C87" s="2" t="s">
        <v>143</v>
      </c>
      <c r="D87" s="2" t="s">
        <v>274</v>
      </c>
      <c r="E87" s="1">
        <f>30</f>
        <v>30</v>
      </c>
      <c r="F87" s="1">
        <f>10</f>
        <v>10</v>
      </c>
      <c r="G87" s="1">
        <f>5</f>
        <v>5</v>
      </c>
      <c r="H87" s="1">
        <f>5</f>
        <v>5</v>
      </c>
      <c r="I87" s="1">
        <f>5</f>
        <v>5</v>
      </c>
      <c r="J87" s="1"/>
      <c r="K87" s="1"/>
      <c r="L87" s="1"/>
      <c r="M87" s="1"/>
      <c r="N87" s="1"/>
      <c r="O87" s="1">
        <f>10</f>
        <v>10</v>
      </c>
      <c r="P87" s="1">
        <f>7</f>
        <v>7</v>
      </c>
      <c r="Q87" s="1">
        <f>10</f>
        <v>10</v>
      </c>
      <c r="R87" s="1">
        <f>7</f>
        <v>7</v>
      </c>
      <c r="S87" s="1">
        <f>10</f>
        <v>10</v>
      </c>
      <c r="T87" s="1">
        <f>10</f>
        <v>10</v>
      </c>
      <c r="U87" s="1"/>
      <c r="V87" s="1"/>
      <c r="W87" s="1"/>
      <c r="X87" s="1"/>
      <c r="Y87" s="1"/>
      <c r="Z87" s="1"/>
      <c r="AA87" s="1"/>
      <c r="AB87" s="3">
        <f>25326</f>
        <v>25326</v>
      </c>
      <c r="AC87" s="3"/>
      <c r="AD87" s="3">
        <f>30372</f>
        <v>30372</v>
      </c>
      <c r="AE87" s="3"/>
      <c r="AF87" s="3"/>
      <c r="AG87" s="4">
        <f t="shared" si="2"/>
        <v>55698</v>
      </c>
    </row>
    <row r="88" spans="1:33" x14ac:dyDescent="0.25">
      <c r="A88" s="1">
        <v>83</v>
      </c>
      <c r="B88" s="5" t="s">
        <v>146</v>
      </c>
      <c r="C88" s="2" t="s">
        <v>147</v>
      </c>
      <c r="D88" s="2" t="s">
        <v>274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3"/>
      <c r="AC88" s="3"/>
      <c r="AD88" s="3"/>
      <c r="AE88" s="3"/>
      <c r="AF88" s="3"/>
      <c r="AG88" s="4">
        <f t="shared" si="2"/>
        <v>0</v>
      </c>
    </row>
    <row r="89" spans="1:33" x14ac:dyDescent="0.25">
      <c r="A89" s="1">
        <v>84</v>
      </c>
      <c r="B89" s="5" t="s">
        <v>148</v>
      </c>
      <c r="C89" s="2" t="s">
        <v>149</v>
      </c>
      <c r="D89" s="2" t="s">
        <v>274</v>
      </c>
      <c r="E89" s="1">
        <f>150+200</f>
        <v>350</v>
      </c>
      <c r="F89" s="1">
        <f>4</f>
        <v>4</v>
      </c>
      <c r="G89" s="1"/>
      <c r="H89" s="1">
        <f>3</f>
        <v>3</v>
      </c>
      <c r="I89" s="1">
        <f>10</f>
        <v>10</v>
      </c>
      <c r="J89" s="1"/>
      <c r="K89" s="1"/>
      <c r="L89" s="1"/>
      <c r="M89" s="1"/>
      <c r="N89" s="1"/>
      <c r="O89" s="1">
        <f>5</f>
        <v>5</v>
      </c>
      <c r="P89" s="1">
        <f>2</f>
        <v>2</v>
      </c>
      <c r="Q89" s="1">
        <f>5</f>
        <v>5</v>
      </c>
      <c r="R89" s="1">
        <f>2</f>
        <v>2</v>
      </c>
      <c r="S89" s="1">
        <f>5</f>
        <v>5</v>
      </c>
      <c r="T89" s="1">
        <f>4</f>
        <v>4</v>
      </c>
      <c r="U89" s="1"/>
      <c r="V89" s="1"/>
      <c r="W89" s="1"/>
      <c r="X89" s="1"/>
      <c r="Y89" s="1"/>
      <c r="Z89" s="1"/>
      <c r="AA89" s="1"/>
      <c r="AB89" s="3">
        <f>51367+55399</f>
        <v>106766</v>
      </c>
      <c r="AC89" s="3"/>
      <c r="AD89" s="3">
        <f>12936</f>
        <v>12936</v>
      </c>
      <c r="AE89" s="3"/>
      <c r="AF89" s="3"/>
      <c r="AG89" s="4">
        <f t="shared" si="2"/>
        <v>119702</v>
      </c>
    </row>
    <row r="90" spans="1:33" ht="15.75" thickBot="1" x14ac:dyDescent="0.3">
      <c r="A90" s="1">
        <v>85</v>
      </c>
      <c r="B90" s="10" t="s">
        <v>223</v>
      </c>
      <c r="C90" s="11" t="s">
        <v>224</v>
      </c>
      <c r="D90" s="2" t="s">
        <v>274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3"/>
      <c r="AC90" s="13"/>
      <c r="AD90" s="13"/>
      <c r="AE90" s="13"/>
      <c r="AF90" s="13"/>
      <c r="AG90" s="4">
        <f t="shared" si="2"/>
        <v>0</v>
      </c>
    </row>
    <row r="91" spans="1:33" ht="15.75" thickBot="1" x14ac:dyDescent="0.3">
      <c r="A91" s="39" t="s">
        <v>150</v>
      </c>
      <c r="B91" s="40"/>
      <c r="C91" s="24"/>
      <c r="D91" s="24"/>
      <c r="E91" s="25">
        <f t="shared" ref="E91:AG91" si="3">SUM(E5:E90)</f>
        <v>48398</v>
      </c>
      <c r="F91" s="25">
        <f t="shared" si="3"/>
        <v>15907</v>
      </c>
      <c r="G91" s="25">
        <f t="shared" si="3"/>
        <v>940</v>
      </c>
      <c r="H91" s="25">
        <f t="shared" si="3"/>
        <v>306</v>
      </c>
      <c r="I91" s="25">
        <f t="shared" si="3"/>
        <v>3846</v>
      </c>
      <c r="J91" s="25">
        <f t="shared" si="3"/>
        <v>498</v>
      </c>
      <c r="K91" s="25">
        <f t="shared" si="3"/>
        <v>523</v>
      </c>
      <c r="L91" s="25">
        <f t="shared" si="3"/>
        <v>222</v>
      </c>
      <c r="M91" s="25">
        <f t="shared" si="3"/>
        <v>556</v>
      </c>
      <c r="N91" s="25">
        <f t="shared" si="3"/>
        <v>258</v>
      </c>
      <c r="O91" s="25">
        <f t="shared" si="3"/>
        <v>4320</v>
      </c>
      <c r="P91" s="25">
        <f t="shared" si="3"/>
        <v>5074</v>
      </c>
      <c r="Q91" s="25">
        <f t="shared" si="3"/>
        <v>3755</v>
      </c>
      <c r="R91" s="25">
        <f t="shared" si="3"/>
        <v>4044</v>
      </c>
      <c r="S91" s="25">
        <f t="shared" si="3"/>
        <v>1315</v>
      </c>
      <c r="T91" s="25">
        <f t="shared" si="3"/>
        <v>4300</v>
      </c>
      <c r="U91" s="25">
        <f t="shared" si="3"/>
        <v>275</v>
      </c>
      <c r="V91" s="25">
        <f t="shared" si="3"/>
        <v>90</v>
      </c>
      <c r="W91" s="25">
        <f t="shared" si="3"/>
        <v>4975</v>
      </c>
      <c r="X91" s="25">
        <f t="shared" si="3"/>
        <v>370</v>
      </c>
      <c r="Y91" s="25">
        <f t="shared" si="3"/>
        <v>369</v>
      </c>
      <c r="Z91" s="25">
        <f t="shared" si="3"/>
        <v>359</v>
      </c>
      <c r="AA91" s="25">
        <f t="shared" si="3"/>
        <v>273</v>
      </c>
      <c r="AB91" s="26">
        <f t="shared" si="3"/>
        <v>25624328</v>
      </c>
      <c r="AC91" s="26">
        <f t="shared" si="3"/>
        <v>1118387</v>
      </c>
      <c r="AD91" s="26">
        <f t="shared" si="3"/>
        <v>12477242</v>
      </c>
      <c r="AE91" s="26">
        <f t="shared" si="3"/>
        <v>4480154</v>
      </c>
      <c r="AF91" s="26">
        <f t="shared" si="3"/>
        <v>615158</v>
      </c>
      <c r="AG91" s="26">
        <f t="shared" si="3"/>
        <v>44315269</v>
      </c>
    </row>
  </sheetData>
  <mergeCells count="3">
    <mergeCell ref="A1:AG1"/>
    <mergeCell ref="A2:AG2"/>
    <mergeCell ref="A91:B91"/>
  </mergeCells>
  <pageMargins left="0.54" right="0.41" top="0.17" bottom="0.16" header="0.19" footer="0.16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F2B6-0320-4E82-8A8D-6F0A09B4FC86}">
  <dimension ref="A1:AG98"/>
  <sheetViews>
    <sheetView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Q22" sqref="Q22"/>
    </sheetView>
  </sheetViews>
  <sheetFormatPr defaultRowHeight="15" x14ac:dyDescent="0.25"/>
  <cols>
    <col min="1" max="1" width="6.42578125" bestFit="1" customWidth="1"/>
    <col min="2" max="2" width="28.85546875" customWidth="1"/>
    <col min="3" max="3" width="14.28515625" customWidth="1"/>
    <col min="4" max="4" width="10.42578125" customWidth="1"/>
    <col min="5" max="5" width="7.7109375" style="14" customWidth="1"/>
    <col min="6" max="9" width="7.85546875" style="14" customWidth="1"/>
    <col min="10" max="10" width="7.42578125" style="14" customWidth="1"/>
    <col min="11" max="12" width="7.85546875" style="14" customWidth="1"/>
    <col min="13" max="14" width="7.5703125" style="14" customWidth="1"/>
    <col min="15" max="15" width="10" style="14" customWidth="1"/>
    <col min="16" max="16" width="10.140625" style="14" customWidth="1"/>
    <col min="17" max="18" width="8.42578125" style="14" customWidth="1"/>
    <col min="19" max="19" width="9.7109375" style="14" customWidth="1"/>
    <col min="20" max="22" width="8.42578125" style="14" customWidth="1"/>
    <col min="23" max="23" width="8.140625" style="14" customWidth="1"/>
    <col min="24" max="24" width="8.28515625" style="14" customWidth="1"/>
    <col min="25" max="25" width="8.7109375" style="14" customWidth="1"/>
    <col min="26" max="26" width="9" style="14" customWidth="1"/>
    <col min="27" max="27" width="9.28515625" style="14" customWidth="1"/>
    <col min="28" max="28" width="14.140625" style="14" customWidth="1"/>
    <col min="29" max="29" width="12.5703125" style="14" customWidth="1"/>
    <col min="30" max="30" width="14.140625" style="14" customWidth="1"/>
    <col min="31" max="31" width="12.5703125" style="14" customWidth="1"/>
    <col min="32" max="32" width="11.42578125" style="14" customWidth="1"/>
    <col min="33" max="33" width="14.140625" bestFit="1" customWidth="1"/>
  </cols>
  <sheetData>
    <row r="1" spans="1:33" ht="21" x14ac:dyDescent="0.3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</row>
    <row r="2" spans="1:33" ht="19.5" thickBot="1" x14ac:dyDescent="0.35">
      <c r="A2" s="38" t="s">
        <v>297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</row>
    <row r="3" spans="1:33" ht="70.5" customHeight="1" thickBot="1" x14ac:dyDescent="0.3">
      <c r="A3" s="15" t="s">
        <v>1</v>
      </c>
      <c r="B3" s="16" t="s">
        <v>2</v>
      </c>
      <c r="C3" s="16" t="s">
        <v>3</v>
      </c>
      <c r="D3" s="16" t="s">
        <v>263</v>
      </c>
      <c r="E3" s="17" t="s">
        <v>4</v>
      </c>
      <c r="F3" s="17" t="s">
        <v>5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12</v>
      </c>
      <c r="L3" s="17" t="s">
        <v>13</v>
      </c>
      <c r="M3" s="17" t="s">
        <v>14</v>
      </c>
      <c r="N3" s="17" t="s">
        <v>15</v>
      </c>
      <c r="O3" s="17" t="s">
        <v>240</v>
      </c>
      <c r="P3" s="17" t="s">
        <v>239</v>
      </c>
      <c r="Q3" s="17" t="s">
        <v>241</v>
      </c>
      <c r="R3" s="17" t="s">
        <v>242</v>
      </c>
      <c r="S3" s="17" t="s">
        <v>243</v>
      </c>
      <c r="T3" s="17" t="s">
        <v>250</v>
      </c>
      <c r="U3" s="17" t="s">
        <v>278</v>
      </c>
      <c r="V3" s="17" t="s">
        <v>293</v>
      </c>
      <c r="W3" s="17" t="s">
        <v>257</v>
      </c>
      <c r="X3" s="17" t="s">
        <v>252</v>
      </c>
      <c r="Y3" s="17" t="s">
        <v>253</v>
      </c>
      <c r="Z3" s="17" t="s">
        <v>254</v>
      </c>
      <c r="AA3" s="17" t="s">
        <v>255</v>
      </c>
      <c r="AB3" s="17" t="s">
        <v>25</v>
      </c>
      <c r="AC3" s="18" t="s">
        <v>26</v>
      </c>
      <c r="AD3" s="18" t="s">
        <v>238</v>
      </c>
      <c r="AE3" s="18" t="s">
        <v>258</v>
      </c>
      <c r="AF3" s="18" t="s">
        <v>256</v>
      </c>
      <c r="AG3" s="19" t="s">
        <v>28</v>
      </c>
    </row>
    <row r="4" spans="1:33" ht="15.75" thickBot="1" x14ac:dyDescent="0.3">
      <c r="A4" s="20"/>
      <c r="B4" s="21"/>
      <c r="C4" s="21"/>
      <c r="D4" s="21"/>
      <c r="E4" s="22" t="s">
        <v>29</v>
      </c>
      <c r="F4" s="22" t="s">
        <v>30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22" t="s">
        <v>29</v>
      </c>
      <c r="M4" s="22" t="s">
        <v>36</v>
      </c>
      <c r="N4" s="22" t="s">
        <v>29</v>
      </c>
      <c r="O4" s="22" t="s">
        <v>36</v>
      </c>
      <c r="P4" s="22" t="s">
        <v>29</v>
      </c>
      <c r="Q4" s="22" t="s">
        <v>36</v>
      </c>
      <c r="R4" s="22" t="s">
        <v>29</v>
      </c>
      <c r="S4" s="22" t="s">
        <v>36</v>
      </c>
      <c r="T4" s="22" t="s">
        <v>29</v>
      </c>
      <c r="U4" s="22" t="s">
        <v>36</v>
      </c>
      <c r="V4" s="22" t="s">
        <v>29</v>
      </c>
      <c r="W4" s="22" t="s">
        <v>30</v>
      </c>
      <c r="X4" s="22" t="s">
        <v>29</v>
      </c>
      <c r="Y4" s="22" t="s">
        <v>29</v>
      </c>
      <c r="Z4" s="22" t="s">
        <v>29</v>
      </c>
      <c r="AA4" s="22" t="s">
        <v>29</v>
      </c>
      <c r="AB4" s="22"/>
      <c r="AC4" s="22"/>
      <c r="AD4" s="22"/>
      <c r="AE4" s="22"/>
      <c r="AF4" s="22"/>
      <c r="AG4" s="23"/>
    </row>
    <row r="5" spans="1:33" x14ac:dyDescent="0.25">
      <c r="A5" s="1">
        <v>1</v>
      </c>
      <c r="B5" s="2" t="s">
        <v>39</v>
      </c>
      <c r="C5" s="2" t="s">
        <v>40</v>
      </c>
      <c r="D5" s="2" t="s">
        <v>40</v>
      </c>
      <c r="E5" s="1">
        <f>1475+900+1215+800+800</f>
        <v>5190</v>
      </c>
      <c r="F5" s="1">
        <f>300+200+220+150+80</f>
        <v>950</v>
      </c>
      <c r="G5" s="1">
        <v>10</v>
      </c>
      <c r="H5" s="1"/>
      <c r="I5" s="1">
        <f>40+30+30+40</f>
        <v>140</v>
      </c>
      <c r="J5" s="1"/>
      <c r="K5" s="1"/>
      <c r="L5" s="1">
        <v>10</v>
      </c>
      <c r="M5" s="1">
        <v>21</v>
      </c>
      <c r="N5" s="1">
        <f>10+10</f>
        <v>20</v>
      </c>
      <c r="O5" s="1">
        <f>40+30+20+75</f>
        <v>165</v>
      </c>
      <c r="P5" s="1">
        <f>70+60+75</f>
        <v>205</v>
      </c>
      <c r="Q5" s="1">
        <f>30+20+75</f>
        <v>125</v>
      </c>
      <c r="R5" s="1">
        <f>20+30+50+75</f>
        <v>175</v>
      </c>
      <c r="S5" s="1">
        <f>20+20+20+50</f>
        <v>110</v>
      </c>
      <c r="T5" s="1">
        <f>50+60+75</f>
        <v>185</v>
      </c>
      <c r="U5" s="1"/>
      <c r="V5" s="1"/>
      <c r="W5" s="1">
        <f>50+50</f>
        <v>100</v>
      </c>
      <c r="X5" s="1"/>
      <c r="Y5" s="1"/>
      <c r="Z5" s="1"/>
      <c r="AA5" s="1"/>
      <c r="AB5" s="3">
        <f>556960+353006+442653+319023+242434</f>
        <v>1914076</v>
      </c>
      <c r="AC5" s="3">
        <f>8652+30953</f>
        <v>39605</v>
      </c>
      <c r="AD5" s="3">
        <f>107271+59039+123354+228011</f>
        <v>517675</v>
      </c>
      <c r="AE5" s="3">
        <f>45099+45099</f>
        <v>90198</v>
      </c>
      <c r="AF5" s="3"/>
      <c r="AG5" s="4">
        <f>AB5+AC5+AD5+AF5+AE5</f>
        <v>2561554</v>
      </c>
    </row>
    <row r="6" spans="1:33" x14ac:dyDescent="0.25">
      <c r="A6" s="1">
        <v>2</v>
      </c>
      <c r="B6" s="2" t="s">
        <v>41</v>
      </c>
      <c r="C6" s="2" t="s">
        <v>42</v>
      </c>
      <c r="D6" s="2" t="s">
        <v>264</v>
      </c>
      <c r="E6" s="1">
        <f>900+700+959+1000+1400+900+700+1100+750+800</f>
        <v>9209</v>
      </c>
      <c r="F6" s="1">
        <f>100+190+200+40+40+75+150+200+120+130</f>
        <v>1245</v>
      </c>
      <c r="G6" s="1"/>
      <c r="H6" s="1"/>
      <c r="I6" s="1">
        <f>50+60+70+25+30+60+100+25+25+150</f>
        <v>595</v>
      </c>
      <c r="J6" s="1"/>
      <c r="K6" s="1"/>
      <c r="L6" s="1"/>
      <c r="M6" s="1">
        <f>3</f>
        <v>3</v>
      </c>
      <c r="N6" s="1">
        <f>5</f>
        <v>5</v>
      </c>
      <c r="O6" s="1">
        <f>20+20+10+20+20</f>
        <v>90</v>
      </c>
      <c r="P6" s="1">
        <f>50+40+100+40+100+20</f>
        <v>350</v>
      </c>
      <c r="Q6" s="1">
        <f>20+20+10+20</f>
        <v>70</v>
      </c>
      <c r="R6" s="1">
        <f>15+60+40+30</f>
        <v>145</v>
      </c>
      <c r="S6" s="1">
        <f>10+30+5</f>
        <v>45</v>
      </c>
      <c r="T6" s="1">
        <f>20+10+20</f>
        <v>50</v>
      </c>
      <c r="U6" s="1">
        <f>10+10+10+20</f>
        <v>50</v>
      </c>
      <c r="V6" s="1">
        <f>30+20</f>
        <v>50</v>
      </c>
      <c r="W6" s="1">
        <f>50+10</f>
        <v>60</v>
      </c>
      <c r="X6" s="1">
        <v>10</v>
      </c>
      <c r="Y6" s="1">
        <v>10</v>
      </c>
      <c r="Z6" s="1"/>
      <c r="AA6" s="1">
        <v>10</v>
      </c>
      <c r="AB6" s="3">
        <f>318919+322128+400805+293283+398397+314509+334814+399395+270587+391083</f>
        <v>3443920</v>
      </c>
      <c r="AC6" s="3">
        <f>6275</f>
        <v>6275</v>
      </c>
      <c r="AD6" s="3">
        <f>34846+80457+128732+75084+85809+5369+41134</f>
        <v>451431</v>
      </c>
      <c r="AE6" s="3">
        <f>45100+9197</f>
        <v>54297</v>
      </c>
      <c r="AF6" s="3">
        <v>13403</v>
      </c>
      <c r="AG6" s="4">
        <f t="shared" ref="AG6:AG77" si="0">AB6+AC6+AD6+AF6+AE6</f>
        <v>3969326</v>
      </c>
    </row>
    <row r="7" spans="1:33" x14ac:dyDescent="0.25">
      <c r="A7" s="1">
        <v>3</v>
      </c>
      <c r="B7" s="5" t="s">
        <v>43</v>
      </c>
      <c r="C7" s="2" t="s">
        <v>44</v>
      </c>
      <c r="D7" s="2" t="s">
        <v>264</v>
      </c>
      <c r="E7" s="1">
        <f>700+1000</f>
        <v>1700</v>
      </c>
      <c r="F7" s="1">
        <f>100+40</f>
        <v>140</v>
      </c>
      <c r="G7" s="1"/>
      <c r="H7" s="1"/>
      <c r="I7" s="1">
        <f>50</f>
        <v>50</v>
      </c>
      <c r="J7" s="1"/>
      <c r="K7" s="1">
        <f>3</f>
        <v>3</v>
      </c>
      <c r="L7" s="1"/>
      <c r="M7" s="1">
        <f>3</f>
        <v>3</v>
      </c>
      <c r="N7" s="1"/>
      <c r="O7" s="1">
        <f>20+40</f>
        <v>60</v>
      </c>
      <c r="P7" s="1">
        <f>20+30</f>
        <v>50</v>
      </c>
      <c r="Q7" s="1">
        <f>20+30</f>
        <v>50</v>
      </c>
      <c r="R7" s="1">
        <f>20+30</f>
        <v>50</v>
      </c>
      <c r="S7" s="1">
        <f>10+30</f>
        <v>40</v>
      </c>
      <c r="T7" s="1">
        <f>15+40</f>
        <v>55</v>
      </c>
      <c r="U7" s="1">
        <f>20+25</f>
        <v>45</v>
      </c>
      <c r="V7" s="1">
        <f>20+25</f>
        <v>45</v>
      </c>
      <c r="W7" s="1">
        <f>20</f>
        <v>20</v>
      </c>
      <c r="X7" s="1"/>
      <c r="Y7" s="1"/>
      <c r="Z7" s="1"/>
      <c r="AA7" s="1"/>
      <c r="AB7" s="3">
        <f>268418+272719</f>
        <v>541137</v>
      </c>
      <c r="AC7" s="3">
        <f>3899</f>
        <v>3899</v>
      </c>
      <c r="AD7" s="3">
        <f>76007+131897</f>
        <v>207904</v>
      </c>
      <c r="AE7" s="3">
        <f>18394</f>
        <v>18394</v>
      </c>
      <c r="AF7" s="3"/>
      <c r="AG7" s="4">
        <f t="shared" si="0"/>
        <v>771334</v>
      </c>
    </row>
    <row r="8" spans="1:33" x14ac:dyDescent="0.25">
      <c r="A8" s="1">
        <v>4</v>
      </c>
      <c r="B8" s="2" t="s">
        <v>45</v>
      </c>
      <c r="C8" s="2" t="s">
        <v>46</v>
      </c>
      <c r="D8" s="2" t="s">
        <v>264</v>
      </c>
      <c r="E8" s="1">
        <f>200</f>
        <v>200</v>
      </c>
      <c r="F8" s="1">
        <f>180</f>
        <v>180</v>
      </c>
      <c r="G8" s="1">
        <f>20</f>
        <v>20</v>
      </c>
      <c r="H8" s="1"/>
      <c r="I8" s="1">
        <f>120</f>
        <v>120</v>
      </c>
      <c r="J8" s="1"/>
      <c r="K8" s="1"/>
      <c r="L8" s="1"/>
      <c r="M8" s="1"/>
      <c r="N8" s="1"/>
      <c r="O8" s="1">
        <f>25</f>
        <v>25</v>
      </c>
      <c r="P8" s="1">
        <f>30</f>
        <v>30</v>
      </c>
      <c r="Q8" s="1">
        <f>35</f>
        <v>35</v>
      </c>
      <c r="R8" s="1">
        <f>40</f>
        <v>40</v>
      </c>
      <c r="S8" s="1">
        <f>25</f>
        <v>25</v>
      </c>
      <c r="T8" s="1">
        <f>40</f>
        <v>40</v>
      </c>
      <c r="U8" s="1">
        <f>25</f>
        <v>25</v>
      </c>
      <c r="V8" s="1">
        <f>30</f>
        <v>30</v>
      </c>
      <c r="W8" s="1"/>
      <c r="X8" s="1">
        <f>10</f>
        <v>10</v>
      </c>
      <c r="Y8" s="1">
        <f>10</f>
        <v>10</v>
      </c>
      <c r="Z8" s="1">
        <f>10</f>
        <v>10</v>
      </c>
      <c r="AA8" s="1"/>
      <c r="AB8" s="3">
        <f>256796</f>
        <v>256796</v>
      </c>
      <c r="AC8" s="3"/>
      <c r="AD8" s="3">
        <f>131437</f>
        <v>131437</v>
      </c>
      <c r="AE8" s="3"/>
      <c r="AF8" s="3">
        <f>13402</f>
        <v>13402</v>
      </c>
      <c r="AG8" s="4">
        <f t="shared" si="0"/>
        <v>401635</v>
      </c>
    </row>
    <row r="9" spans="1:33" x14ac:dyDescent="0.25">
      <c r="A9" s="1">
        <v>5</v>
      </c>
      <c r="B9" s="2" t="s">
        <v>47</v>
      </c>
      <c r="C9" s="2" t="s">
        <v>48</v>
      </c>
      <c r="D9" s="2" t="s">
        <v>264</v>
      </c>
      <c r="E9" s="1">
        <f>250+470+535</f>
        <v>1255</v>
      </c>
      <c r="F9" s="1">
        <f>120+30</f>
        <v>150</v>
      </c>
      <c r="G9" s="1"/>
      <c r="H9" s="1"/>
      <c r="I9" s="1">
        <f>80</f>
        <v>80</v>
      </c>
      <c r="J9" s="1"/>
      <c r="K9" s="1"/>
      <c r="L9" s="1"/>
      <c r="M9" s="1"/>
      <c r="N9" s="1"/>
      <c r="O9" s="1">
        <f>50+60</f>
        <v>110</v>
      </c>
      <c r="P9" s="1">
        <f>150</f>
        <v>150</v>
      </c>
      <c r="Q9" s="1">
        <f>50+10</f>
        <v>60</v>
      </c>
      <c r="R9" s="1">
        <f>150</f>
        <v>150</v>
      </c>
      <c r="S9" s="1">
        <v>10</v>
      </c>
      <c r="T9" s="1">
        <f>150+100</f>
        <v>250</v>
      </c>
      <c r="U9" s="1">
        <v>10</v>
      </c>
      <c r="V9" s="1">
        <f>50+15</f>
        <v>65</v>
      </c>
      <c r="W9" s="1">
        <f>30+30</f>
        <v>60</v>
      </c>
      <c r="X9" s="1">
        <f>10+18+25</f>
        <v>53</v>
      </c>
      <c r="Y9" s="1">
        <f>10+18+25</f>
        <v>53</v>
      </c>
      <c r="Z9" s="1">
        <f>10+15+25</f>
        <v>50</v>
      </c>
      <c r="AA9" s="1">
        <f>10+14+25</f>
        <v>49</v>
      </c>
      <c r="AB9" s="3">
        <f>63126+245125+150252</f>
        <v>458503</v>
      </c>
      <c r="AC9" s="3"/>
      <c r="AD9" s="3">
        <f>317276+108636</f>
        <v>425912</v>
      </c>
      <c r="AE9" s="3">
        <f>27591+27591</f>
        <v>55182</v>
      </c>
      <c r="AF9" s="3">
        <f>17870+29039+44674</f>
        <v>91583</v>
      </c>
      <c r="AG9" s="4">
        <f t="shared" si="0"/>
        <v>1031180</v>
      </c>
    </row>
    <row r="10" spans="1:33" x14ac:dyDescent="0.25">
      <c r="A10" s="1">
        <v>6</v>
      </c>
      <c r="B10" s="2" t="s">
        <v>199</v>
      </c>
      <c r="C10" s="2" t="s">
        <v>200</v>
      </c>
      <c r="D10" s="2" t="s">
        <v>264</v>
      </c>
      <c r="E10" s="1">
        <v>780</v>
      </c>
      <c r="F10" s="1">
        <v>150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25</v>
      </c>
      <c r="U10" s="1">
        <v>15</v>
      </c>
      <c r="V10" s="1">
        <v>10</v>
      </c>
      <c r="W10" s="1"/>
      <c r="X10" s="1"/>
      <c r="Y10" s="1"/>
      <c r="Z10" s="1"/>
      <c r="AA10" s="1"/>
      <c r="AB10" s="3">
        <v>272761</v>
      </c>
      <c r="AC10" s="3"/>
      <c r="AD10" s="3">
        <v>25924</v>
      </c>
      <c r="AE10" s="3"/>
      <c r="AF10" s="3"/>
      <c r="AG10" s="4">
        <f t="shared" si="0"/>
        <v>298685</v>
      </c>
    </row>
    <row r="11" spans="1:33" x14ac:dyDescent="0.25">
      <c r="A11" s="1">
        <v>7</v>
      </c>
      <c r="B11" s="2" t="s">
        <v>49</v>
      </c>
      <c r="C11" s="2" t="s">
        <v>50</v>
      </c>
      <c r="D11" s="2" t="s">
        <v>264</v>
      </c>
      <c r="E11" s="1">
        <f>900+750</f>
        <v>1650</v>
      </c>
      <c r="F11" s="1">
        <v>110</v>
      </c>
      <c r="G11" s="1"/>
      <c r="H11" s="1"/>
      <c r="I11" s="1">
        <f>25+70</f>
        <v>95</v>
      </c>
      <c r="J11" s="1"/>
      <c r="K11" s="1"/>
      <c r="L11" s="1"/>
      <c r="M11" s="1"/>
      <c r="N11" s="1"/>
      <c r="O11" s="1">
        <v>25</v>
      </c>
      <c r="P11" s="1">
        <v>50</v>
      </c>
      <c r="Q11" s="1">
        <f>25</f>
        <v>25</v>
      </c>
      <c r="R11" s="1">
        <f>25+10</f>
        <v>35</v>
      </c>
      <c r="S11" s="1">
        <v>15</v>
      </c>
      <c r="T11" s="1">
        <v>50</v>
      </c>
      <c r="U11" s="1">
        <f>40+30</f>
        <v>70</v>
      </c>
      <c r="V11" s="1">
        <f>10+10</f>
        <v>20</v>
      </c>
      <c r="W11" s="1"/>
      <c r="X11" s="1"/>
      <c r="Y11" s="1"/>
      <c r="Z11" s="1"/>
      <c r="AA11" s="1"/>
      <c r="AB11" s="3">
        <f>247817+302547</f>
        <v>550364</v>
      </c>
      <c r="AC11" s="3"/>
      <c r="AD11" s="3">
        <f>52771+101025</f>
        <v>153796</v>
      </c>
      <c r="AE11" s="3"/>
      <c r="AF11" s="3"/>
      <c r="AG11" s="4">
        <f t="shared" si="0"/>
        <v>704160</v>
      </c>
    </row>
    <row r="12" spans="1:33" x14ac:dyDescent="0.25">
      <c r="A12" s="1">
        <v>8</v>
      </c>
      <c r="B12" s="2" t="s">
        <v>195</v>
      </c>
      <c r="C12" s="2" t="s">
        <v>196</v>
      </c>
      <c r="D12" s="2" t="s">
        <v>264</v>
      </c>
      <c r="E12" s="1">
        <v>880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40</v>
      </c>
      <c r="V12" s="1">
        <v>30</v>
      </c>
      <c r="W12" s="1">
        <v>50</v>
      </c>
      <c r="X12" s="1"/>
      <c r="Y12" s="1"/>
      <c r="Z12" s="1"/>
      <c r="AA12" s="1"/>
      <c r="AB12" s="3">
        <v>222204</v>
      </c>
      <c r="AC12" s="3"/>
      <c r="AD12" s="3">
        <v>34881</v>
      </c>
      <c r="AE12" s="3">
        <v>45099</v>
      </c>
      <c r="AF12" s="3"/>
      <c r="AG12" s="4">
        <f t="shared" si="0"/>
        <v>302184</v>
      </c>
    </row>
    <row r="13" spans="1:33" x14ac:dyDescent="0.25">
      <c r="A13" s="1">
        <v>9</v>
      </c>
      <c r="B13" s="6" t="s">
        <v>53</v>
      </c>
      <c r="C13" s="2" t="s">
        <v>54</v>
      </c>
      <c r="D13" s="2" t="s">
        <v>265</v>
      </c>
      <c r="E13" s="1">
        <f>900+600+450</f>
        <v>1950</v>
      </c>
      <c r="F13" s="1">
        <f>200+250+200</f>
        <v>650</v>
      </c>
      <c r="G13" s="1">
        <v>5</v>
      </c>
      <c r="H13" s="1"/>
      <c r="I13" s="1">
        <f>30+30+30</f>
        <v>90</v>
      </c>
      <c r="J13" s="1"/>
      <c r="K13" s="1"/>
      <c r="L13" s="1"/>
      <c r="M13" s="1"/>
      <c r="N13" s="1">
        <f>2</f>
        <v>2</v>
      </c>
      <c r="O13" s="1">
        <v>15</v>
      </c>
      <c r="P13" s="1">
        <f>15+10+15</f>
        <v>40</v>
      </c>
      <c r="Q13" s="1">
        <f>15+25+15</f>
        <v>55</v>
      </c>
      <c r="R13" s="1">
        <f>15+25+15</f>
        <v>55</v>
      </c>
      <c r="S13" s="1">
        <f>15+15+15</f>
        <v>45</v>
      </c>
      <c r="T13" s="1">
        <f>15+25+15</f>
        <v>55</v>
      </c>
      <c r="U13" s="1">
        <f>15+20+15</f>
        <v>50</v>
      </c>
      <c r="V13" s="1">
        <f>15+20+15</f>
        <v>50</v>
      </c>
      <c r="W13" s="1"/>
      <c r="X13" s="1"/>
      <c r="Y13" s="1"/>
      <c r="Z13" s="1"/>
      <c r="AA13" s="1"/>
      <c r="AB13" s="3">
        <f>353006+306681+239379</f>
        <v>899066</v>
      </c>
      <c r="AC13" s="3">
        <f>1731</f>
        <v>1731</v>
      </c>
      <c r="AD13" s="3">
        <f>54988+73317+63043</f>
        <v>191348</v>
      </c>
      <c r="AE13" s="3"/>
      <c r="AF13" s="3"/>
      <c r="AG13" s="4">
        <f t="shared" si="0"/>
        <v>1092145</v>
      </c>
    </row>
    <row r="14" spans="1:33" x14ac:dyDescent="0.25">
      <c r="A14" s="1">
        <v>10</v>
      </c>
      <c r="B14" s="6" t="s">
        <v>203</v>
      </c>
      <c r="C14" s="2" t="s">
        <v>204</v>
      </c>
      <c r="D14" s="2" t="s">
        <v>265</v>
      </c>
      <c r="E14" s="1">
        <f>250</f>
        <v>250</v>
      </c>
      <c r="F14" s="1">
        <f>160</f>
        <v>160</v>
      </c>
      <c r="G14" s="1"/>
      <c r="H14" s="1"/>
      <c r="I14" s="1"/>
      <c r="J14" s="1"/>
      <c r="K14" s="1"/>
      <c r="L14" s="1"/>
      <c r="M14" s="1"/>
      <c r="N14" s="1">
        <f>10</f>
        <v>10</v>
      </c>
      <c r="O14" s="1"/>
      <c r="P14" s="1"/>
      <c r="Q14" s="1">
        <f>30</f>
        <v>30</v>
      </c>
      <c r="R14" s="1"/>
      <c r="S14" s="1"/>
      <c r="T14" s="1"/>
      <c r="U14" s="1">
        <f>30</f>
        <v>30</v>
      </c>
      <c r="V14" s="1">
        <f>30</f>
        <v>30</v>
      </c>
      <c r="W14" s="1">
        <f>100</f>
        <v>100</v>
      </c>
      <c r="X14" s="1">
        <f>15</f>
        <v>15</v>
      </c>
      <c r="Y14" s="1"/>
      <c r="Z14" s="1">
        <f>15</f>
        <v>15</v>
      </c>
      <c r="AA14" s="1">
        <f>15</f>
        <v>15</v>
      </c>
      <c r="AB14" s="3">
        <f>143988</f>
        <v>143988</v>
      </c>
      <c r="AC14" s="3">
        <f>8652</f>
        <v>8652</v>
      </c>
      <c r="AD14" s="3">
        <f>45619</f>
        <v>45619</v>
      </c>
      <c r="AE14" s="3">
        <f>89279</f>
        <v>89279</v>
      </c>
      <c r="AF14" s="3">
        <f>20103</f>
        <v>20103</v>
      </c>
      <c r="AG14" s="4">
        <f t="shared" si="0"/>
        <v>307641</v>
      </c>
    </row>
    <row r="15" spans="1:33" x14ac:dyDescent="0.25">
      <c r="A15" s="1">
        <v>11</v>
      </c>
      <c r="B15" s="2" t="s">
        <v>55</v>
      </c>
      <c r="C15" s="2" t="s">
        <v>56</v>
      </c>
      <c r="D15" s="2" t="s">
        <v>265</v>
      </c>
      <c r="E15" s="1">
        <f>300+300</f>
        <v>600</v>
      </c>
      <c r="F15" s="1">
        <f>150+50</f>
        <v>200</v>
      </c>
      <c r="G15" s="1">
        <f>15+15</f>
        <v>30</v>
      </c>
      <c r="H15" s="1"/>
      <c r="I15" s="1">
        <f>10+10</f>
        <v>20</v>
      </c>
      <c r="J15" s="1"/>
      <c r="K15" s="1"/>
      <c r="L15" s="1"/>
      <c r="M15" s="1"/>
      <c r="N15" s="1"/>
      <c r="O15" s="1">
        <f>60</f>
        <v>60</v>
      </c>
      <c r="P15" s="1">
        <f>50+60</f>
        <v>110</v>
      </c>
      <c r="Q15" s="1">
        <f>25+40</f>
        <v>65</v>
      </c>
      <c r="R15" s="1">
        <f>80+60</f>
        <v>140</v>
      </c>
      <c r="S15" s="1">
        <f>40</f>
        <v>40</v>
      </c>
      <c r="T15" s="1">
        <f>100+100</f>
        <v>200</v>
      </c>
      <c r="U15" s="1">
        <f>35+60</f>
        <v>95</v>
      </c>
      <c r="V15" s="1">
        <f>150+130</f>
        <v>280</v>
      </c>
      <c r="W15" s="1">
        <f>100+125</f>
        <v>225</v>
      </c>
      <c r="X15" s="1"/>
      <c r="Y15" s="1"/>
      <c r="Z15" s="1"/>
      <c r="AA15" s="1"/>
      <c r="AB15" s="3">
        <f>172251+122412</f>
        <v>294663</v>
      </c>
      <c r="AC15" s="3"/>
      <c r="AD15" s="3">
        <f>222532+283408</f>
        <v>505940</v>
      </c>
      <c r="AE15" s="3">
        <f>89278+111598</f>
        <v>200876</v>
      </c>
      <c r="AF15" s="3"/>
      <c r="AG15" s="4">
        <f t="shared" si="0"/>
        <v>1001479</v>
      </c>
    </row>
    <row r="16" spans="1:33" x14ac:dyDescent="0.25">
      <c r="A16" s="1">
        <v>12</v>
      </c>
      <c r="B16" s="2" t="s">
        <v>160</v>
      </c>
      <c r="C16" s="2" t="s">
        <v>161</v>
      </c>
      <c r="D16" s="2" t="s">
        <v>265</v>
      </c>
      <c r="E16" s="1">
        <v>580</v>
      </c>
      <c r="F16" s="1">
        <v>250</v>
      </c>
      <c r="G16" s="1">
        <v>10</v>
      </c>
      <c r="H16" s="1"/>
      <c r="I16" s="1">
        <v>100</v>
      </c>
      <c r="J16" s="1"/>
      <c r="K16" s="1"/>
      <c r="L16" s="1"/>
      <c r="M16" s="1"/>
      <c r="N16" s="1">
        <f>5</f>
        <v>5</v>
      </c>
      <c r="O16" s="1">
        <v>20</v>
      </c>
      <c r="P16" s="1">
        <f>120</f>
        <v>120</v>
      </c>
      <c r="Q16" s="1">
        <f>30</f>
        <v>30</v>
      </c>
      <c r="R16" s="1">
        <f>70</f>
        <v>70</v>
      </c>
      <c r="S16" s="1">
        <f>30</f>
        <v>30</v>
      </c>
      <c r="T16" s="1">
        <f>120</f>
        <v>120</v>
      </c>
      <c r="U16" s="1">
        <f>30+50</f>
        <v>80</v>
      </c>
      <c r="V16" s="1">
        <f>120</f>
        <v>120</v>
      </c>
      <c r="W16" s="1">
        <f>130</f>
        <v>130</v>
      </c>
      <c r="X16" s="1"/>
      <c r="Y16" s="1"/>
      <c r="Z16" s="1"/>
      <c r="AA16" s="1"/>
      <c r="AB16" s="3">
        <v>363363</v>
      </c>
      <c r="AC16" s="3">
        <f>4326</f>
        <v>4326</v>
      </c>
      <c r="AD16" s="3">
        <f>268125+37586</f>
        <v>305711</v>
      </c>
      <c r="AE16" s="3">
        <f>116063</f>
        <v>116063</v>
      </c>
      <c r="AF16" s="3"/>
      <c r="AG16" s="4">
        <f t="shared" si="0"/>
        <v>789463</v>
      </c>
    </row>
    <row r="17" spans="1:33" x14ac:dyDescent="0.25">
      <c r="A17" s="1">
        <v>13</v>
      </c>
      <c r="B17" s="2" t="s">
        <v>59</v>
      </c>
      <c r="C17" s="2" t="s">
        <v>60</v>
      </c>
      <c r="D17" s="2" t="s">
        <v>265</v>
      </c>
      <c r="E17" s="1">
        <v>200</v>
      </c>
      <c r="F17" s="1">
        <v>80</v>
      </c>
      <c r="G17" s="1">
        <v>30</v>
      </c>
      <c r="H17" s="1"/>
      <c r="I17" s="1">
        <v>40</v>
      </c>
      <c r="J17" s="1"/>
      <c r="K17" s="1"/>
      <c r="L17" s="1"/>
      <c r="M17" s="1"/>
      <c r="N17" s="1"/>
      <c r="O17" s="1">
        <v>20</v>
      </c>
      <c r="P17" s="1">
        <v>30</v>
      </c>
      <c r="Q17" s="1">
        <v>30</v>
      </c>
      <c r="R17" s="1">
        <v>40</v>
      </c>
      <c r="S17" s="1">
        <v>30</v>
      </c>
      <c r="T17" s="1">
        <v>50</v>
      </c>
      <c r="U17" s="1">
        <v>30</v>
      </c>
      <c r="V17" s="1">
        <v>60</v>
      </c>
      <c r="W17" s="1"/>
      <c r="X17" s="1">
        <v>2</v>
      </c>
      <c r="Y17" s="1">
        <v>2</v>
      </c>
      <c r="Z17" s="1">
        <v>3</v>
      </c>
      <c r="AA17" s="1">
        <v>3</v>
      </c>
      <c r="AB17" s="3">
        <v>148766</v>
      </c>
      <c r="AC17" s="3"/>
      <c r="AD17" s="3">
        <v>150201</v>
      </c>
      <c r="AE17" s="3"/>
      <c r="AF17" s="3">
        <v>4502</v>
      </c>
      <c r="AG17" s="4">
        <f t="shared" si="0"/>
        <v>303469</v>
      </c>
    </row>
    <row r="18" spans="1:33" x14ac:dyDescent="0.25">
      <c r="A18" s="1">
        <v>14</v>
      </c>
      <c r="B18" s="2" t="s">
        <v>61</v>
      </c>
      <c r="C18" s="2" t="s">
        <v>62</v>
      </c>
      <c r="D18" s="2" t="s">
        <v>265</v>
      </c>
      <c r="E18" s="1">
        <f>750+500</f>
        <v>1250</v>
      </c>
      <c r="F18" s="1">
        <f>100+225</f>
        <v>325</v>
      </c>
      <c r="G18" s="1">
        <f>10</f>
        <v>10</v>
      </c>
      <c r="H18" s="1">
        <f>10</f>
        <v>10</v>
      </c>
      <c r="I18" s="1">
        <f>85+150</f>
        <v>235</v>
      </c>
      <c r="J18" s="1"/>
      <c r="K18" s="1"/>
      <c r="L18" s="1"/>
      <c r="M18" s="1"/>
      <c r="N18" s="1"/>
      <c r="O18" s="1">
        <f>25+10</f>
        <v>35</v>
      </c>
      <c r="P18" s="1">
        <f>25+30</f>
        <v>55</v>
      </c>
      <c r="Q18" s="1">
        <f>30+40</f>
        <v>70</v>
      </c>
      <c r="R18" s="1">
        <f>30+40</f>
        <v>70</v>
      </c>
      <c r="S18" s="1">
        <f>20+10</f>
        <v>30</v>
      </c>
      <c r="T18" s="1">
        <f>80+40</f>
        <v>120</v>
      </c>
      <c r="U18" s="1"/>
      <c r="V18" s="1">
        <f>50+60</f>
        <v>110</v>
      </c>
      <c r="W18" s="1">
        <f>50+50+50</f>
        <v>150</v>
      </c>
      <c r="X18" s="1">
        <v>15</v>
      </c>
      <c r="Y18" s="1">
        <v>15</v>
      </c>
      <c r="Z18" s="1">
        <v>15</v>
      </c>
      <c r="AA18" s="1">
        <v>15</v>
      </c>
      <c r="AB18" s="3">
        <f>323958+363343</f>
        <v>687301</v>
      </c>
      <c r="AC18" s="3"/>
      <c r="AD18" s="3">
        <f>134982+117993</f>
        <v>252975</v>
      </c>
      <c r="AE18" s="3">
        <f>45099+45100+45099</f>
        <v>135298</v>
      </c>
      <c r="AF18" s="3">
        <f>26805</f>
        <v>26805</v>
      </c>
      <c r="AG18" s="4">
        <f t="shared" si="0"/>
        <v>1102379</v>
      </c>
    </row>
    <row r="19" spans="1:33" x14ac:dyDescent="0.25">
      <c r="A19" s="1">
        <v>15</v>
      </c>
      <c r="B19" s="2" t="s">
        <v>63</v>
      </c>
      <c r="C19" s="2" t="s">
        <v>64</v>
      </c>
      <c r="D19" s="2" t="s">
        <v>265</v>
      </c>
      <c r="E19" s="1">
        <f>465+670</f>
        <v>1135</v>
      </c>
      <c r="F19" s="1">
        <f>70+100</f>
        <v>170</v>
      </c>
      <c r="G19" s="1">
        <f>10+10</f>
        <v>20</v>
      </c>
      <c r="H19" s="1"/>
      <c r="I19" s="1">
        <f>15+20</f>
        <v>35</v>
      </c>
      <c r="J19" s="1"/>
      <c r="K19" s="1"/>
      <c r="L19" s="1">
        <v>2</v>
      </c>
      <c r="M19" s="1">
        <f>10+15</f>
        <v>25</v>
      </c>
      <c r="N19" s="1">
        <f>2</f>
        <v>2</v>
      </c>
      <c r="O19" s="1">
        <f>25+10</f>
        <v>35</v>
      </c>
      <c r="P19" s="1">
        <f>20+15</f>
        <v>35</v>
      </c>
      <c r="Q19" s="1">
        <f>15+5</f>
        <v>20</v>
      </c>
      <c r="R19" s="1">
        <f>40+15</f>
        <v>55</v>
      </c>
      <c r="S19" s="1">
        <f>10</f>
        <v>10</v>
      </c>
      <c r="T19" s="1">
        <f>50+20</f>
        <v>70</v>
      </c>
      <c r="U19" s="1"/>
      <c r="V19" s="1">
        <f>10+20</f>
        <v>30</v>
      </c>
      <c r="W19" s="1">
        <f>50</f>
        <v>50</v>
      </c>
      <c r="X19" s="1">
        <f>5</f>
        <v>5</v>
      </c>
      <c r="Y19" s="1">
        <f>5</f>
        <v>5</v>
      </c>
      <c r="Z19" s="1">
        <f>5</f>
        <v>5</v>
      </c>
      <c r="AA19" s="1">
        <f>10</f>
        <v>10</v>
      </c>
      <c r="AB19" s="3">
        <f>173441+244478</f>
        <v>417919</v>
      </c>
      <c r="AC19" s="3">
        <f>8229+11479</f>
        <v>19708</v>
      </c>
      <c r="AD19" s="3">
        <f>90286+43794</f>
        <v>134080</v>
      </c>
      <c r="AE19" s="3">
        <f>45100</f>
        <v>45100</v>
      </c>
      <c r="AF19" s="3">
        <f>11168</f>
        <v>11168</v>
      </c>
      <c r="AG19" s="4">
        <f t="shared" si="0"/>
        <v>627975</v>
      </c>
    </row>
    <row r="20" spans="1:33" x14ac:dyDescent="0.25">
      <c r="A20" s="1">
        <v>16</v>
      </c>
      <c r="B20" s="6" t="s">
        <v>65</v>
      </c>
      <c r="C20" s="2" t="s">
        <v>66</v>
      </c>
      <c r="D20" s="2" t="s">
        <v>265</v>
      </c>
      <c r="E20" s="1">
        <f>800</f>
        <v>800</v>
      </c>
      <c r="F20" s="1">
        <f>200</f>
        <v>200</v>
      </c>
      <c r="G20" s="1"/>
      <c r="H20" s="1"/>
      <c r="I20" s="1">
        <f>50</f>
        <v>50</v>
      </c>
      <c r="J20" s="1"/>
      <c r="K20" s="1">
        <f>14</f>
        <v>14</v>
      </c>
      <c r="L20" s="1"/>
      <c r="M20" s="1">
        <f>6</f>
        <v>6</v>
      </c>
      <c r="N20" s="1"/>
      <c r="O20" s="1">
        <f>100</f>
        <v>100</v>
      </c>
      <c r="P20" s="1">
        <f>50</f>
        <v>50</v>
      </c>
      <c r="Q20" s="1">
        <f>100</f>
        <v>100</v>
      </c>
      <c r="R20" s="1">
        <f>50</f>
        <v>50</v>
      </c>
      <c r="S20" s="1">
        <f>100</f>
        <v>100</v>
      </c>
      <c r="T20" s="1">
        <f>120</f>
        <v>120</v>
      </c>
      <c r="U20" s="1">
        <f>100</f>
        <v>100</v>
      </c>
      <c r="V20" s="1">
        <f>100</f>
        <v>100</v>
      </c>
      <c r="W20" s="1">
        <f>100</f>
        <v>100</v>
      </c>
      <c r="X20" s="1"/>
      <c r="Y20" s="1"/>
      <c r="Z20" s="1"/>
      <c r="AA20" s="1"/>
      <c r="AB20" s="3">
        <f>344207</f>
        <v>344207</v>
      </c>
      <c r="AC20" s="3">
        <f>12999</f>
        <v>12999</v>
      </c>
      <c r="AD20" s="3">
        <f>377395</f>
        <v>377395</v>
      </c>
      <c r="AE20" s="3">
        <f>89279</f>
        <v>89279</v>
      </c>
      <c r="AF20" s="3"/>
      <c r="AG20" s="4">
        <f t="shared" si="0"/>
        <v>823880</v>
      </c>
    </row>
    <row r="21" spans="1:33" x14ac:dyDescent="0.25">
      <c r="A21" s="1">
        <v>17</v>
      </c>
      <c r="B21" s="6" t="s">
        <v>67</v>
      </c>
      <c r="C21" s="2" t="s">
        <v>68</v>
      </c>
      <c r="D21" s="2" t="s">
        <v>266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3"/>
      <c r="AC21" s="3"/>
      <c r="AD21" s="3"/>
      <c r="AE21" s="3"/>
      <c r="AF21" s="3"/>
      <c r="AG21" s="4">
        <f t="shared" si="0"/>
        <v>0</v>
      </c>
    </row>
    <row r="22" spans="1:33" x14ac:dyDescent="0.25">
      <c r="A22" s="1">
        <v>18</v>
      </c>
      <c r="B22" s="6" t="s">
        <v>178</v>
      </c>
      <c r="C22" s="2" t="s">
        <v>70</v>
      </c>
      <c r="D22" s="2" t="s">
        <v>266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3"/>
      <c r="AC22" s="3"/>
      <c r="AD22" s="3"/>
      <c r="AE22" s="3"/>
      <c r="AF22" s="3"/>
      <c r="AG22" s="4">
        <f t="shared" si="0"/>
        <v>0</v>
      </c>
    </row>
    <row r="23" spans="1:33" x14ac:dyDescent="0.25">
      <c r="A23" s="1">
        <v>19</v>
      </c>
      <c r="B23" s="6" t="s">
        <v>194</v>
      </c>
      <c r="C23" s="2" t="s">
        <v>172</v>
      </c>
      <c r="D23" s="2" t="s">
        <v>266</v>
      </c>
      <c r="E23" s="1">
        <f>350+400</f>
        <v>750</v>
      </c>
      <c r="F23" s="1">
        <f>275+225</f>
        <v>500</v>
      </c>
      <c r="G23" s="1">
        <f>50+65</f>
        <v>115</v>
      </c>
      <c r="H23" s="1"/>
      <c r="I23" s="1"/>
      <c r="J23" s="1"/>
      <c r="K23" s="1">
        <f>5</f>
        <v>5</v>
      </c>
      <c r="L23" s="1"/>
      <c r="M23" s="1">
        <f>5</f>
        <v>5</v>
      </c>
      <c r="N23" s="1"/>
      <c r="O23" s="1">
        <v>15</v>
      </c>
      <c r="P23" s="1">
        <f>10+15</f>
        <v>25</v>
      </c>
      <c r="Q23" s="1">
        <f>20</f>
        <v>20</v>
      </c>
      <c r="R23" s="1">
        <f>5+10</f>
        <v>15</v>
      </c>
      <c r="S23" s="1"/>
      <c r="T23" s="1"/>
      <c r="U23" s="1">
        <v>10</v>
      </c>
      <c r="V23" s="1">
        <v>10</v>
      </c>
      <c r="W23" s="1">
        <f>10</f>
        <v>10</v>
      </c>
      <c r="X23" s="1"/>
      <c r="Y23" s="1"/>
      <c r="Z23" s="1"/>
      <c r="AA23" s="1"/>
      <c r="AB23" s="3">
        <f>268912+268735</f>
        <v>537647</v>
      </c>
      <c r="AC23" s="3">
        <f>6499</f>
        <v>6499</v>
      </c>
      <c r="AD23" s="3">
        <f>18781+31293</f>
        <v>50074</v>
      </c>
      <c r="AE23" s="3">
        <f>9197</f>
        <v>9197</v>
      </c>
      <c r="AF23" s="3"/>
      <c r="AG23" s="4">
        <f t="shared" si="0"/>
        <v>603417</v>
      </c>
    </row>
    <row r="24" spans="1:33" x14ac:dyDescent="0.25">
      <c r="A24" s="1">
        <v>20</v>
      </c>
      <c r="B24" s="6" t="s">
        <v>191</v>
      </c>
      <c r="C24" s="2" t="s">
        <v>192</v>
      </c>
      <c r="D24" s="2" t="s">
        <v>266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33"/>
      <c r="AC24" s="3"/>
      <c r="AD24" s="3"/>
      <c r="AE24" s="3"/>
      <c r="AF24" s="3"/>
      <c r="AG24" s="4">
        <f t="shared" si="0"/>
        <v>0</v>
      </c>
    </row>
    <row r="25" spans="1:33" x14ac:dyDescent="0.25">
      <c r="A25" s="1">
        <v>21</v>
      </c>
      <c r="B25" s="6" t="s">
        <v>229</v>
      </c>
      <c r="C25" s="2" t="s">
        <v>230</v>
      </c>
      <c r="D25" s="2" t="s">
        <v>266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"/>
      <c r="AC25" s="3"/>
      <c r="AD25" s="3"/>
      <c r="AE25" s="3"/>
      <c r="AF25" s="3"/>
      <c r="AG25" s="4">
        <f t="shared" si="0"/>
        <v>0</v>
      </c>
    </row>
    <row r="26" spans="1:33" x14ac:dyDescent="0.25">
      <c r="A26" s="1">
        <v>22</v>
      </c>
      <c r="B26" s="6" t="s">
        <v>244</v>
      </c>
      <c r="C26" s="2" t="s">
        <v>245</v>
      </c>
      <c r="D26" s="2" t="s">
        <v>266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"/>
      <c r="AC26" s="3"/>
      <c r="AD26" s="3"/>
      <c r="AE26" s="3"/>
      <c r="AF26" s="3"/>
      <c r="AG26" s="4">
        <f t="shared" si="0"/>
        <v>0</v>
      </c>
    </row>
    <row r="27" spans="1:33" x14ac:dyDescent="0.25">
      <c r="A27" s="1">
        <v>23</v>
      </c>
      <c r="B27" s="2" t="s">
        <v>71</v>
      </c>
      <c r="C27" s="2" t="s">
        <v>72</v>
      </c>
      <c r="D27" s="2" t="s">
        <v>267</v>
      </c>
      <c r="E27" s="1">
        <f>250+525</f>
        <v>775</v>
      </c>
      <c r="F27" s="1">
        <f>250+250</f>
        <v>500</v>
      </c>
      <c r="G27" s="1">
        <f>50</f>
        <v>50</v>
      </c>
      <c r="H27" s="1">
        <f>35+10</f>
        <v>45</v>
      </c>
      <c r="I27" s="1">
        <f>60+30</f>
        <v>90</v>
      </c>
      <c r="J27" s="1"/>
      <c r="K27" s="1"/>
      <c r="L27" s="1"/>
      <c r="M27" s="1">
        <f>1</f>
        <v>1</v>
      </c>
      <c r="N27" s="1">
        <f>2</f>
        <v>2</v>
      </c>
      <c r="O27" s="1">
        <f>5+20</f>
        <v>25</v>
      </c>
      <c r="P27" s="1">
        <f>30+60</f>
        <v>90</v>
      </c>
      <c r="Q27" s="1">
        <f>5+20</f>
        <v>25</v>
      </c>
      <c r="R27" s="1">
        <f>30+75</f>
        <v>105</v>
      </c>
      <c r="S27" s="1">
        <f>5+20</f>
        <v>25</v>
      </c>
      <c r="T27" s="1">
        <f>30+50</f>
        <v>80</v>
      </c>
      <c r="U27" s="1">
        <f>10+20</f>
        <v>30</v>
      </c>
      <c r="V27" s="1">
        <f>20+50</f>
        <v>70</v>
      </c>
      <c r="W27" s="1">
        <f>100</f>
        <v>100</v>
      </c>
      <c r="X27" s="1"/>
      <c r="Y27" s="1"/>
      <c r="Z27" s="1"/>
      <c r="AA27" s="1"/>
      <c r="AB27" s="3">
        <f>299035+287702</f>
        <v>586737</v>
      </c>
      <c r="AC27" s="3">
        <f>2381</f>
        <v>2381</v>
      </c>
      <c r="AD27" s="3">
        <f>70607+166171</f>
        <v>236778</v>
      </c>
      <c r="AE27" s="3">
        <f>89278</f>
        <v>89278</v>
      </c>
      <c r="AF27" s="3"/>
      <c r="AG27" s="4">
        <f t="shared" si="0"/>
        <v>915174</v>
      </c>
    </row>
    <row r="28" spans="1:33" hidden="1" x14ac:dyDescent="0.25">
      <c r="A28" s="1"/>
      <c r="B28" s="28" t="s">
        <v>73</v>
      </c>
      <c r="C28" s="28" t="s">
        <v>74</v>
      </c>
      <c r="D28" s="28" t="s">
        <v>267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"/>
      <c r="AC28" s="3"/>
      <c r="AD28" s="3"/>
      <c r="AE28" s="3"/>
      <c r="AF28" s="3"/>
      <c r="AG28" s="4">
        <f t="shared" si="0"/>
        <v>0</v>
      </c>
    </row>
    <row r="29" spans="1:33" x14ac:dyDescent="0.25">
      <c r="A29" s="1">
        <v>24</v>
      </c>
      <c r="B29" s="2" t="s">
        <v>308</v>
      </c>
      <c r="C29" s="5" t="s">
        <v>74</v>
      </c>
      <c r="D29" s="5" t="s">
        <v>267</v>
      </c>
      <c r="E29" s="1">
        <v>400</v>
      </c>
      <c r="F29" s="1">
        <v>180</v>
      </c>
      <c r="G29" s="1"/>
      <c r="H29" s="1"/>
      <c r="I29" s="1">
        <v>50</v>
      </c>
      <c r="J29" s="1"/>
      <c r="K29" s="1"/>
      <c r="L29" s="1"/>
      <c r="M29" s="1"/>
      <c r="N29" s="1"/>
      <c r="O29" s="1">
        <v>5</v>
      </c>
      <c r="P29" s="1">
        <v>30</v>
      </c>
      <c r="Q29" s="1">
        <v>5</v>
      </c>
      <c r="R29" s="1">
        <v>30</v>
      </c>
      <c r="S29" s="1">
        <v>5</v>
      </c>
      <c r="T29" s="1">
        <v>30</v>
      </c>
      <c r="U29" s="1">
        <v>5</v>
      </c>
      <c r="V29" s="1">
        <v>30</v>
      </c>
      <c r="W29" s="1">
        <v>33</v>
      </c>
      <c r="X29" s="1">
        <v>7</v>
      </c>
      <c r="Y29" s="1">
        <v>7</v>
      </c>
      <c r="Z29" s="1">
        <v>7</v>
      </c>
      <c r="AA29" s="1">
        <v>7</v>
      </c>
      <c r="AB29" s="3">
        <v>233097</v>
      </c>
      <c r="AC29" s="3"/>
      <c r="AD29" s="3">
        <v>72391</v>
      </c>
      <c r="AE29" s="3">
        <v>30349</v>
      </c>
      <c r="AF29" s="3">
        <v>12509</v>
      </c>
      <c r="AG29" s="4">
        <f t="shared" si="0"/>
        <v>348346</v>
      </c>
    </row>
    <row r="30" spans="1:33" x14ac:dyDescent="0.25">
      <c r="A30" s="1">
        <v>25</v>
      </c>
      <c r="B30" s="2" t="s">
        <v>75</v>
      </c>
      <c r="C30" s="2" t="s">
        <v>76</v>
      </c>
      <c r="D30" s="2" t="s">
        <v>267</v>
      </c>
      <c r="E30" s="7">
        <v>200</v>
      </c>
      <c r="F30" s="7">
        <v>60</v>
      </c>
      <c r="G30" s="7"/>
      <c r="H30" s="7">
        <v>10</v>
      </c>
      <c r="I30" s="7">
        <v>10</v>
      </c>
      <c r="J30" s="7"/>
      <c r="K30" s="7"/>
      <c r="L30" s="7"/>
      <c r="M30" s="7"/>
      <c r="N30" s="7"/>
      <c r="O30" s="7">
        <v>100</v>
      </c>
      <c r="P30" s="7">
        <v>100</v>
      </c>
      <c r="Q30" s="7"/>
      <c r="R30" s="7"/>
      <c r="S30" s="7">
        <v>10</v>
      </c>
      <c r="T30" s="7">
        <v>20</v>
      </c>
      <c r="U30" s="7"/>
      <c r="V30" s="7"/>
      <c r="W30" s="7"/>
      <c r="X30" s="7">
        <v>25</v>
      </c>
      <c r="Y30" s="7">
        <v>10</v>
      </c>
      <c r="Z30" s="7">
        <v>20</v>
      </c>
      <c r="AA30" s="7">
        <v>25</v>
      </c>
      <c r="AB30" s="8">
        <v>94865</v>
      </c>
      <c r="AC30" s="8"/>
      <c r="AD30" s="8">
        <v>123396</v>
      </c>
      <c r="AE30" s="8"/>
      <c r="AF30" s="8">
        <v>35740</v>
      </c>
      <c r="AG30" s="4">
        <f t="shared" si="0"/>
        <v>254001</v>
      </c>
    </row>
    <row r="31" spans="1:33" x14ac:dyDescent="0.25">
      <c r="A31" s="1">
        <v>26</v>
      </c>
      <c r="B31" s="2" t="s">
        <v>181</v>
      </c>
      <c r="C31" s="2" t="s">
        <v>182</v>
      </c>
      <c r="D31" s="2" t="s">
        <v>267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8"/>
      <c r="AC31" s="8"/>
      <c r="AD31" s="8"/>
      <c r="AE31" s="8"/>
      <c r="AF31" s="8"/>
      <c r="AG31" s="4">
        <f t="shared" si="0"/>
        <v>0</v>
      </c>
    </row>
    <row r="32" spans="1:33" x14ac:dyDescent="0.25">
      <c r="A32" s="1">
        <v>27</v>
      </c>
      <c r="B32" s="5" t="s">
        <v>79</v>
      </c>
      <c r="C32" s="5" t="s">
        <v>80</v>
      </c>
      <c r="D32" s="5" t="s">
        <v>268</v>
      </c>
      <c r="E32" s="7">
        <v>500</v>
      </c>
      <c r="F32" s="7">
        <v>100</v>
      </c>
      <c r="G32" s="7">
        <v>50</v>
      </c>
      <c r="H32" s="7"/>
      <c r="I32" s="7">
        <v>75</v>
      </c>
      <c r="J32" s="7"/>
      <c r="K32" s="7"/>
      <c r="L32" s="7">
        <v>5</v>
      </c>
      <c r="M32" s="7"/>
      <c r="N32" s="7">
        <v>5</v>
      </c>
      <c r="O32" s="7">
        <v>25</v>
      </c>
      <c r="P32" s="7">
        <v>25</v>
      </c>
      <c r="Q32" s="7">
        <v>25</v>
      </c>
      <c r="R32" s="7">
        <v>25</v>
      </c>
      <c r="S32" s="7">
        <v>25</v>
      </c>
      <c r="T32" s="7">
        <v>25</v>
      </c>
      <c r="U32" s="7">
        <v>25</v>
      </c>
      <c r="V32" s="7">
        <v>25</v>
      </c>
      <c r="W32" s="7">
        <v>25</v>
      </c>
      <c r="X32" s="7">
        <v>5</v>
      </c>
      <c r="Y32" s="7">
        <v>5</v>
      </c>
      <c r="Z32" s="7">
        <v>5</v>
      </c>
      <c r="AA32" s="7">
        <v>5</v>
      </c>
      <c r="AB32" s="8">
        <f>280035</f>
        <v>280035</v>
      </c>
      <c r="AC32" s="8">
        <v>8652</v>
      </c>
      <c r="AD32" s="8">
        <v>105071</v>
      </c>
      <c r="AE32" s="8">
        <v>22992</v>
      </c>
      <c r="AF32" s="8">
        <v>9289</v>
      </c>
      <c r="AG32" s="4">
        <f t="shared" si="0"/>
        <v>426039</v>
      </c>
    </row>
    <row r="33" spans="1:33" x14ac:dyDescent="0.25">
      <c r="A33" s="1">
        <v>28</v>
      </c>
      <c r="B33" s="2" t="s">
        <v>193</v>
      </c>
      <c r="C33" s="2" t="s">
        <v>80</v>
      </c>
      <c r="D33" s="2" t="s">
        <v>268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8"/>
      <c r="AC33" s="8"/>
      <c r="AD33" s="8"/>
      <c r="AE33" s="8"/>
      <c r="AF33" s="8"/>
      <c r="AG33" s="4">
        <f t="shared" si="0"/>
        <v>0</v>
      </c>
    </row>
    <row r="34" spans="1:33" hidden="1" x14ac:dyDescent="0.25">
      <c r="A34" s="1"/>
      <c r="B34" s="28" t="s">
        <v>277</v>
      </c>
      <c r="C34" s="28" t="s">
        <v>80</v>
      </c>
      <c r="D34" s="28" t="s">
        <v>268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8"/>
      <c r="AC34" s="8"/>
      <c r="AD34" s="8"/>
      <c r="AE34" s="8"/>
      <c r="AF34" s="8"/>
      <c r="AG34" s="4">
        <f t="shared" si="0"/>
        <v>0</v>
      </c>
    </row>
    <row r="35" spans="1:33" x14ac:dyDescent="0.25">
      <c r="A35" s="1">
        <v>29</v>
      </c>
      <c r="B35" s="2" t="s">
        <v>302</v>
      </c>
      <c r="C35" s="2" t="s">
        <v>80</v>
      </c>
      <c r="D35" s="2" t="s">
        <v>268</v>
      </c>
      <c r="E35" s="7">
        <v>300</v>
      </c>
      <c r="F35" s="7">
        <v>30</v>
      </c>
      <c r="G35" s="7">
        <v>10</v>
      </c>
      <c r="H35" s="7"/>
      <c r="I35" s="7">
        <v>10</v>
      </c>
      <c r="J35" s="7"/>
      <c r="K35" s="7"/>
      <c r="L35" s="7"/>
      <c r="M35" s="7">
        <v>5</v>
      </c>
      <c r="N35" s="7"/>
      <c r="O35" s="7">
        <v>100</v>
      </c>
      <c r="P35" s="7">
        <v>100</v>
      </c>
      <c r="Q35" s="7">
        <v>100</v>
      </c>
      <c r="R35" s="7">
        <v>100</v>
      </c>
      <c r="S35" s="7">
        <v>10</v>
      </c>
      <c r="T35" s="7">
        <v>20</v>
      </c>
      <c r="U35" s="7"/>
      <c r="V35" s="7"/>
      <c r="W35" s="7">
        <v>5</v>
      </c>
      <c r="X35" s="7"/>
      <c r="Y35" s="7"/>
      <c r="Z35" s="7"/>
      <c r="AA35" s="7"/>
      <c r="AB35" s="8">
        <f>107449</f>
        <v>107449</v>
      </c>
      <c r="AC35" s="8">
        <f>3250</f>
        <v>3250</v>
      </c>
      <c r="AD35" s="8">
        <f>230701</f>
        <v>230701</v>
      </c>
      <c r="AE35" s="8">
        <v>4598</v>
      </c>
      <c r="AF35" s="8"/>
      <c r="AG35" s="4">
        <f t="shared" si="0"/>
        <v>345998</v>
      </c>
    </row>
    <row r="36" spans="1:33" x14ac:dyDescent="0.25">
      <c r="A36" s="1">
        <v>30</v>
      </c>
      <c r="B36" s="2" t="s">
        <v>81</v>
      </c>
      <c r="C36" s="2" t="s">
        <v>82</v>
      </c>
      <c r="D36" s="2" t="s">
        <v>268</v>
      </c>
      <c r="E36" s="1">
        <f>610+600+620</f>
        <v>1830</v>
      </c>
      <c r="F36" s="1">
        <f>225+250+125</f>
        <v>600</v>
      </c>
      <c r="G36" s="1"/>
      <c r="H36" s="1"/>
      <c r="I36" s="1">
        <f>40+27+40</f>
        <v>107</v>
      </c>
      <c r="J36" s="1"/>
      <c r="K36" s="1"/>
      <c r="L36" s="1">
        <v>3</v>
      </c>
      <c r="M36" s="1">
        <f>3</f>
        <v>3</v>
      </c>
      <c r="N36" s="1">
        <v>3</v>
      </c>
      <c r="O36" s="1">
        <f>120</f>
        <v>120</v>
      </c>
      <c r="P36" s="1">
        <v>40</v>
      </c>
      <c r="Q36" s="1">
        <f>50</f>
        <v>50</v>
      </c>
      <c r="R36" s="1">
        <v>40</v>
      </c>
      <c r="S36" s="1"/>
      <c r="T36" s="1"/>
      <c r="U36" s="1"/>
      <c r="V36" s="1"/>
      <c r="W36" s="1">
        <f>10</f>
        <v>10</v>
      </c>
      <c r="X36" s="1"/>
      <c r="Y36" s="1"/>
      <c r="Z36" s="1"/>
      <c r="AA36" s="1"/>
      <c r="AB36" s="3">
        <f>300641+300057+252627</f>
        <v>853325</v>
      </c>
      <c r="AC36" s="3">
        <f>1949+5191</f>
        <v>7140</v>
      </c>
      <c r="AD36" s="3">
        <f>91281+42888</f>
        <v>134169</v>
      </c>
      <c r="AE36" s="3">
        <f>9197</f>
        <v>9197</v>
      </c>
      <c r="AF36" s="3"/>
      <c r="AG36" s="4">
        <f t="shared" si="0"/>
        <v>1003831</v>
      </c>
    </row>
    <row r="37" spans="1:33" x14ac:dyDescent="0.25">
      <c r="A37" s="1">
        <v>31</v>
      </c>
      <c r="B37" s="2" t="s">
        <v>281</v>
      </c>
      <c r="C37" s="2" t="s">
        <v>184</v>
      </c>
      <c r="D37" s="2" t="s">
        <v>268</v>
      </c>
      <c r="E37" s="1">
        <v>600</v>
      </c>
      <c r="F37" s="1">
        <v>50</v>
      </c>
      <c r="G37" s="1">
        <v>30</v>
      </c>
      <c r="H37" s="1"/>
      <c r="I37" s="1">
        <v>70</v>
      </c>
      <c r="J37" s="1"/>
      <c r="K37" s="1"/>
      <c r="L37" s="1"/>
      <c r="M37" s="1"/>
      <c r="N37" s="1"/>
      <c r="O37" s="1"/>
      <c r="P37" s="1">
        <v>40</v>
      </c>
      <c r="Q37" s="1"/>
      <c r="R37" s="1">
        <v>40</v>
      </c>
      <c r="S37" s="1"/>
      <c r="T37" s="1"/>
      <c r="U37" s="1"/>
      <c r="V37" s="1"/>
      <c r="W37" s="1"/>
      <c r="X37" s="1"/>
      <c r="Y37" s="1"/>
      <c r="Z37" s="1"/>
      <c r="AA37" s="1"/>
      <c r="AB37" s="3">
        <v>259282</v>
      </c>
      <c r="AC37" s="3"/>
      <c r="AD37" s="3">
        <v>42887</v>
      </c>
      <c r="AE37" s="3"/>
      <c r="AF37" s="3"/>
      <c r="AG37" s="4">
        <f t="shared" si="0"/>
        <v>302169</v>
      </c>
    </row>
    <row r="38" spans="1:33" x14ac:dyDescent="0.25">
      <c r="A38" s="1">
        <v>32</v>
      </c>
      <c r="B38" s="2" t="s">
        <v>227</v>
      </c>
      <c r="C38" s="2" t="s">
        <v>157</v>
      </c>
      <c r="D38" s="2" t="s">
        <v>268</v>
      </c>
      <c r="E38" s="1">
        <f>360</f>
        <v>360</v>
      </c>
      <c r="F38" s="1">
        <f>50</f>
        <v>50</v>
      </c>
      <c r="G38" s="1">
        <f>40</f>
        <v>40</v>
      </c>
      <c r="H38" s="1"/>
      <c r="I38" s="1">
        <f>120</f>
        <v>120</v>
      </c>
      <c r="J38" s="1"/>
      <c r="K38" s="1">
        <f>6</f>
        <v>6</v>
      </c>
      <c r="L38" s="1"/>
      <c r="M38" s="1">
        <f>20</f>
        <v>20</v>
      </c>
      <c r="N38" s="1"/>
      <c r="O38" s="1">
        <f>70</f>
        <v>70</v>
      </c>
      <c r="P38" s="1">
        <f>70</f>
        <v>70</v>
      </c>
      <c r="Q38" s="1">
        <f>70</f>
        <v>70</v>
      </c>
      <c r="R38" s="1">
        <f>70</f>
        <v>70</v>
      </c>
      <c r="S38" s="1"/>
      <c r="T38" s="1">
        <f>50</f>
        <v>50</v>
      </c>
      <c r="U38" s="1"/>
      <c r="V38" s="1"/>
      <c r="W38" s="1">
        <f>20</f>
        <v>20</v>
      </c>
      <c r="X38" s="1">
        <f>10</f>
        <v>10</v>
      </c>
      <c r="Y38" s="1">
        <f>10</f>
        <v>10</v>
      </c>
      <c r="Z38" s="1"/>
      <c r="AA38" s="1">
        <f>10</f>
        <v>10</v>
      </c>
      <c r="AB38" s="3">
        <f>248118</f>
        <v>248118</v>
      </c>
      <c r="AC38" s="3">
        <f>16898</f>
        <v>16898</v>
      </c>
      <c r="AD38" s="3">
        <f>177031</f>
        <v>177031</v>
      </c>
      <c r="AE38" s="3">
        <f>18394</f>
        <v>18394</v>
      </c>
      <c r="AF38" s="3">
        <f>13403</f>
        <v>13403</v>
      </c>
      <c r="AG38" s="4">
        <f t="shared" si="0"/>
        <v>473844</v>
      </c>
    </row>
    <row r="39" spans="1:33" x14ac:dyDescent="0.25">
      <c r="A39" s="1">
        <v>33</v>
      </c>
      <c r="B39" s="2" t="s">
        <v>218</v>
      </c>
      <c r="C39" s="2" t="s">
        <v>219</v>
      </c>
      <c r="D39" s="2" t="s">
        <v>268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"/>
      <c r="AC39" s="3"/>
      <c r="AD39" s="3"/>
      <c r="AE39" s="3"/>
      <c r="AF39" s="3"/>
      <c r="AG39" s="4">
        <f t="shared" si="0"/>
        <v>0</v>
      </c>
    </row>
    <row r="40" spans="1:33" x14ac:dyDescent="0.25">
      <c r="A40" s="1">
        <v>34</v>
      </c>
      <c r="B40" s="2" t="s">
        <v>197</v>
      </c>
      <c r="C40" s="2" t="s">
        <v>198</v>
      </c>
      <c r="D40" s="2" t="s">
        <v>268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3"/>
      <c r="AC40" s="3"/>
      <c r="AD40" s="3"/>
      <c r="AE40" s="3"/>
      <c r="AF40" s="3"/>
      <c r="AG40" s="4">
        <f t="shared" si="0"/>
        <v>0</v>
      </c>
    </row>
    <row r="41" spans="1:33" x14ac:dyDescent="0.25">
      <c r="A41" s="1">
        <v>35</v>
      </c>
      <c r="B41" s="5" t="s">
        <v>262</v>
      </c>
      <c r="C41" s="5" t="s">
        <v>207</v>
      </c>
      <c r="D41" s="2" t="s">
        <v>268</v>
      </c>
      <c r="E41" s="1">
        <v>150</v>
      </c>
      <c r="F41" s="1"/>
      <c r="G41" s="1"/>
      <c r="H41" s="1"/>
      <c r="I41" s="1">
        <v>20</v>
      </c>
      <c r="J41" s="1"/>
      <c r="K41" s="1"/>
      <c r="L41" s="1"/>
      <c r="M41" s="1"/>
      <c r="N41" s="1"/>
      <c r="O41" s="1">
        <v>10</v>
      </c>
      <c r="P41" s="1">
        <v>10</v>
      </c>
      <c r="Q41" s="1">
        <v>30</v>
      </c>
      <c r="R41" s="1">
        <v>20</v>
      </c>
      <c r="S41" s="1"/>
      <c r="T41" s="1">
        <v>20</v>
      </c>
      <c r="U41" s="1"/>
      <c r="V41" s="1"/>
      <c r="W41" s="1"/>
      <c r="X41" s="1"/>
      <c r="Y41" s="1"/>
      <c r="Z41" s="1"/>
      <c r="AA41" s="1"/>
      <c r="AB41" s="3">
        <f>54326</f>
        <v>54326</v>
      </c>
      <c r="AC41" s="3"/>
      <c r="AD41" s="3">
        <f>48283</f>
        <v>48283</v>
      </c>
      <c r="AE41" s="3"/>
      <c r="AF41" s="3"/>
      <c r="AG41" s="4">
        <f t="shared" si="0"/>
        <v>102609</v>
      </c>
    </row>
    <row r="42" spans="1:33" x14ac:dyDescent="0.25">
      <c r="A42" s="1">
        <v>36</v>
      </c>
      <c r="B42" s="2" t="s">
        <v>209</v>
      </c>
      <c r="C42" s="2" t="s">
        <v>208</v>
      </c>
      <c r="D42" s="2" t="s">
        <v>268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3"/>
      <c r="AC42" s="3"/>
      <c r="AD42" s="3"/>
      <c r="AE42" s="3"/>
      <c r="AF42" s="3"/>
      <c r="AG42" s="4">
        <f t="shared" si="0"/>
        <v>0</v>
      </c>
    </row>
    <row r="43" spans="1:33" x14ac:dyDescent="0.25">
      <c r="A43" s="1">
        <v>37</v>
      </c>
      <c r="B43" s="2" t="s">
        <v>216</v>
      </c>
      <c r="C43" s="2" t="s">
        <v>217</v>
      </c>
      <c r="D43" s="2" t="s">
        <v>268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"/>
      <c r="AC43" s="3"/>
      <c r="AD43" s="3"/>
      <c r="AE43" s="3"/>
      <c r="AF43" s="3"/>
      <c r="AG43" s="4">
        <f t="shared" si="0"/>
        <v>0</v>
      </c>
    </row>
    <row r="44" spans="1:33" x14ac:dyDescent="0.25">
      <c r="A44" s="1">
        <v>38</v>
      </c>
      <c r="B44" s="2" t="s">
        <v>221</v>
      </c>
      <c r="C44" s="2" t="s">
        <v>222</v>
      </c>
      <c r="D44" s="2" t="s">
        <v>268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3"/>
      <c r="AC44" s="3"/>
      <c r="AD44" s="3"/>
      <c r="AE44" s="3"/>
      <c r="AF44" s="3"/>
      <c r="AG44" s="4">
        <f t="shared" si="0"/>
        <v>0</v>
      </c>
    </row>
    <row r="45" spans="1:33" x14ac:dyDescent="0.25">
      <c r="A45" s="1">
        <v>39</v>
      </c>
      <c r="B45" s="2" t="s">
        <v>231</v>
      </c>
      <c r="C45" s="2" t="s">
        <v>232</v>
      </c>
      <c r="D45" s="2" t="s">
        <v>268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3"/>
      <c r="AC45" s="3"/>
      <c r="AD45" s="3"/>
      <c r="AE45" s="3"/>
      <c r="AF45" s="3"/>
      <c r="AG45" s="4">
        <f t="shared" si="0"/>
        <v>0</v>
      </c>
    </row>
    <row r="46" spans="1:33" x14ac:dyDescent="0.25">
      <c r="A46" s="1">
        <v>40</v>
      </c>
      <c r="B46" s="2" t="s">
        <v>248</v>
      </c>
      <c r="C46" s="2" t="s">
        <v>249</v>
      </c>
      <c r="D46" s="2" t="s">
        <v>268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3"/>
      <c r="AC46" s="3"/>
      <c r="AD46" s="3"/>
      <c r="AE46" s="3"/>
      <c r="AF46" s="3"/>
      <c r="AG46" s="4">
        <f t="shared" si="0"/>
        <v>0</v>
      </c>
    </row>
    <row r="47" spans="1:33" x14ac:dyDescent="0.25">
      <c r="A47" s="1">
        <v>41</v>
      </c>
      <c r="B47" s="2" t="s">
        <v>279</v>
      </c>
      <c r="C47" s="2" t="s">
        <v>280</v>
      </c>
      <c r="D47" s="2" t="s">
        <v>268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3"/>
      <c r="AC47" s="3"/>
      <c r="AD47" s="3"/>
      <c r="AE47" s="3"/>
      <c r="AF47" s="3"/>
      <c r="AG47" s="4">
        <f t="shared" si="0"/>
        <v>0</v>
      </c>
    </row>
    <row r="48" spans="1:33" x14ac:dyDescent="0.25">
      <c r="A48" s="1">
        <v>42</v>
      </c>
      <c r="B48" s="2" t="s">
        <v>286</v>
      </c>
      <c r="C48" s="2" t="s">
        <v>287</v>
      </c>
      <c r="D48" s="2" t="s">
        <v>268</v>
      </c>
      <c r="E48" s="1">
        <v>650</v>
      </c>
      <c r="F48" s="1">
        <v>60</v>
      </c>
      <c r="G48" s="1"/>
      <c r="H48" s="1"/>
      <c r="I48" s="1">
        <v>50</v>
      </c>
      <c r="J48" s="1"/>
      <c r="K48" s="1"/>
      <c r="L48" s="1"/>
      <c r="M48" s="1"/>
      <c r="N48" s="1"/>
      <c r="O48" s="1">
        <v>5</v>
      </c>
      <c r="P48" s="1">
        <v>30</v>
      </c>
      <c r="Q48" s="1">
        <v>5</v>
      </c>
      <c r="R48" s="1">
        <v>30</v>
      </c>
      <c r="S48" s="1">
        <v>5</v>
      </c>
      <c r="T48" s="1">
        <v>30</v>
      </c>
      <c r="U48" s="1"/>
      <c r="V48" s="1"/>
      <c r="W48" s="1">
        <v>15</v>
      </c>
      <c r="X48" s="1"/>
      <c r="Y48" s="1"/>
      <c r="Z48" s="1"/>
      <c r="AA48" s="1"/>
      <c r="AB48" s="3">
        <v>235577</v>
      </c>
      <c r="AC48" s="3"/>
      <c r="AD48" s="3">
        <v>56303</v>
      </c>
      <c r="AE48" s="3">
        <v>13796</v>
      </c>
      <c r="AF48" s="3"/>
      <c r="AG48" s="4">
        <f t="shared" si="0"/>
        <v>305676</v>
      </c>
    </row>
    <row r="49" spans="1:33" x14ac:dyDescent="0.25">
      <c r="A49" s="1">
        <v>43</v>
      </c>
      <c r="B49" s="2" t="s">
        <v>298</v>
      </c>
      <c r="C49" s="2" t="s">
        <v>299</v>
      </c>
      <c r="D49" s="2" t="s">
        <v>268</v>
      </c>
      <c r="E49" s="1">
        <v>300</v>
      </c>
      <c r="F49" s="1">
        <v>50</v>
      </c>
      <c r="G49" s="1">
        <v>20</v>
      </c>
      <c r="H49" s="1"/>
      <c r="I49" s="1">
        <v>80</v>
      </c>
      <c r="J49" s="1"/>
      <c r="K49" s="1"/>
      <c r="L49" s="1"/>
      <c r="M49" s="1"/>
      <c r="N49" s="1"/>
      <c r="O49" s="1">
        <v>60</v>
      </c>
      <c r="P49" s="1">
        <v>100</v>
      </c>
      <c r="Q49" s="1">
        <v>60</v>
      </c>
      <c r="R49" s="1">
        <v>120</v>
      </c>
      <c r="S49" s="1"/>
      <c r="T49" s="1">
        <v>200</v>
      </c>
      <c r="U49" s="1"/>
      <c r="V49" s="1"/>
      <c r="W49" s="1"/>
      <c r="X49" s="1"/>
      <c r="Y49" s="1"/>
      <c r="Z49" s="1"/>
      <c r="AA49" s="1"/>
      <c r="AB49" s="3">
        <v>183445</v>
      </c>
      <c r="AC49" s="3"/>
      <c r="AD49" s="3">
        <v>289594</v>
      </c>
      <c r="AE49" s="3"/>
      <c r="AF49" s="3"/>
      <c r="AG49" s="4">
        <f t="shared" si="0"/>
        <v>473039</v>
      </c>
    </row>
    <row r="50" spans="1:33" x14ac:dyDescent="0.25">
      <c r="A50" s="1">
        <v>44</v>
      </c>
      <c r="B50" s="34" t="s">
        <v>251</v>
      </c>
      <c r="C50" s="34" t="s">
        <v>163</v>
      </c>
      <c r="D50" s="34" t="s">
        <v>269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3"/>
      <c r="AC50" s="3"/>
      <c r="AD50" s="3"/>
      <c r="AE50" s="3"/>
      <c r="AF50" s="3"/>
      <c r="AG50" s="4">
        <f t="shared" si="0"/>
        <v>0</v>
      </c>
    </row>
    <row r="51" spans="1:33" x14ac:dyDescent="0.25">
      <c r="A51" s="1">
        <v>45</v>
      </c>
      <c r="B51" s="2" t="s">
        <v>188</v>
      </c>
      <c r="C51" s="2" t="s">
        <v>189</v>
      </c>
      <c r="D51" s="34" t="s">
        <v>269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3"/>
      <c r="AC51" s="3"/>
      <c r="AD51" s="3"/>
      <c r="AE51" s="3"/>
      <c r="AF51" s="3"/>
      <c r="AG51" s="4">
        <f t="shared" si="0"/>
        <v>0</v>
      </c>
    </row>
    <row r="52" spans="1:33" hidden="1" x14ac:dyDescent="0.25">
      <c r="A52" s="1"/>
      <c r="B52" s="28" t="s">
        <v>259</v>
      </c>
      <c r="C52" s="28" t="s">
        <v>260</v>
      </c>
      <c r="D52" s="28" t="s">
        <v>269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3"/>
      <c r="AC52" s="3"/>
      <c r="AD52" s="3"/>
      <c r="AE52" s="3"/>
      <c r="AF52" s="3"/>
      <c r="AG52" s="4">
        <f t="shared" si="0"/>
        <v>0</v>
      </c>
    </row>
    <row r="53" spans="1:33" hidden="1" x14ac:dyDescent="0.25">
      <c r="A53" s="1"/>
      <c r="B53" s="28" t="s">
        <v>236</v>
      </c>
      <c r="C53" s="28" t="s">
        <v>237</v>
      </c>
      <c r="D53" s="28" t="s">
        <v>270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3"/>
      <c r="AC53" s="3"/>
      <c r="AD53" s="3"/>
      <c r="AE53" s="3"/>
      <c r="AF53" s="3"/>
      <c r="AG53" s="4">
        <f t="shared" si="0"/>
        <v>0</v>
      </c>
    </row>
    <row r="54" spans="1:33" x14ac:dyDescent="0.25">
      <c r="A54" s="1">
        <v>46</v>
      </c>
      <c r="B54" s="2" t="s">
        <v>282</v>
      </c>
      <c r="C54" s="2" t="s">
        <v>283</v>
      </c>
      <c r="D54" s="2" t="s">
        <v>270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"/>
      <c r="AC54" s="3"/>
      <c r="AD54" s="3"/>
      <c r="AE54" s="3"/>
      <c r="AF54" s="3"/>
      <c r="AG54" s="4">
        <f t="shared" si="0"/>
        <v>0</v>
      </c>
    </row>
    <row r="55" spans="1:33" x14ac:dyDescent="0.25">
      <c r="A55" s="1">
        <v>47</v>
      </c>
      <c r="B55" s="2" t="s">
        <v>290</v>
      </c>
      <c r="C55" s="2" t="s">
        <v>291</v>
      </c>
      <c r="D55" s="2" t="s">
        <v>292</v>
      </c>
      <c r="E55" s="1">
        <f>100</f>
        <v>100</v>
      </c>
      <c r="F55" s="1">
        <f>150</f>
        <v>150</v>
      </c>
      <c r="G55" s="1">
        <f>50+70</f>
        <v>120</v>
      </c>
      <c r="H55" s="1">
        <f>40+60</f>
        <v>100</v>
      </c>
      <c r="I55" s="1">
        <f>40</f>
        <v>40</v>
      </c>
      <c r="J55" s="1"/>
      <c r="K55" s="1">
        <f>40</f>
        <v>40</v>
      </c>
      <c r="L55" s="1">
        <f>40</f>
        <v>40</v>
      </c>
      <c r="M55" s="1">
        <f>40</f>
        <v>40</v>
      </c>
      <c r="N55" s="1">
        <f>40</f>
        <v>40</v>
      </c>
      <c r="O55" s="1">
        <v>30</v>
      </c>
      <c r="P55" s="1">
        <f>40</f>
        <v>40</v>
      </c>
      <c r="Q55" s="1">
        <v>30</v>
      </c>
      <c r="R55" s="1">
        <f>40</f>
        <v>40</v>
      </c>
      <c r="S55" s="1"/>
      <c r="T55" s="1">
        <f>40</f>
        <v>40</v>
      </c>
      <c r="U55" s="1">
        <f>25+60</f>
        <v>85</v>
      </c>
      <c r="V55" s="1">
        <f>17+50</f>
        <v>67</v>
      </c>
      <c r="W55" s="1">
        <f>25+80</f>
        <v>105</v>
      </c>
      <c r="X55" s="1">
        <f>50</f>
        <v>50</v>
      </c>
      <c r="Y55" s="1">
        <f>50</f>
        <v>50</v>
      </c>
      <c r="Z55" s="1">
        <f>50</f>
        <v>50</v>
      </c>
      <c r="AA55" s="1">
        <f>48</f>
        <v>48</v>
      </c>
      <c r="AB55" s="3">
        <f>202505+94800</f>
        <v>297305</v>
      </c>
      <c r="AC55" s="3">
        <f>123418</f>
        <v>123418</v>
      </c>
      <c r="AD55" s="3">
        <f>85350+86771</f>
        <v>172121</v>
      </c>
      <c r="AE55" s="3">
        <f>22993+72160</f>
        <v>95153</v>
      </c>
      <c r="AF55" s="3">
        <f>88456</f>
        <v>88456</v>
      </c>
      <c r="AG55" s="4">
        <f t="shared" si="0"/>
        <v>776453</v>
      </c>
    </row>
    <row r="56" spans="1:33" x14ac:dyDescent="0.25">
      <c r="A56" s="1">
        <v>48</v>
      </c>
      <c r="B56" s="2" t="s">
        <v>304</v>
      </c>
      <c r="C56" s="2" t="s">
        <v>305</v>
      </c>
      <c r="D56" s="2" t="s">
        <v>292</v>
      </c>
      <c r="E56" s="1">
        <v>150</v>
      </c>
      <c r="F56" s="1">
        <v>200</v>
      </c>
      <c r="G56" s="1">
        <v>50</v>
      </c>
      <c r="H56" s="1">
        <v>30</v>
      </c>
      <c r="I56" s="1">
        <v>40</v>
      </c>
      <c r="J56" s="1"/>
      <c r="K56" s="1"/>
      <c r="L56" s="1"/>
      <c r="M56" s="1">
        <v>25</v>
      </c>
      <c r="N56" s="1"/>
      <c r="O56" s="1">
        <v>30</v>
      </c>
      <c r="P56" s="1">
        <v>30</v>
      </c>
      <c r="Q56" s="1">
        <v>30</v>
      </c>
      <c r="R56" s="1">
        <v>30</v>
      </c>
      <c r="S56" s="1"/>
      <c r="T56" s="1">
        <v>30</v>
      </c>
      <c r="U56" s="1">
        <v>30</v>
      </c>
      <c r="V56" s="1">
        <v>40</v>
      </c>
      <c r="W56" s="1">
        <v>25</v>
      </c>
      <c r="X56" s="1">
        <v>50</v>
      </c>
      <c r="Y56" s="1">
        <v>60</v>
      </c>
      <c r="Z56" s="1">
        <v>50</v>
      </c>
      <c r="AA56" s="1">
        <v>50</v>
      </c>
      <c r="AB56" s="3">
        <v>235193</v>
      </c>
      <c r="AC56" s="3">
        <v>16514</v>
      </c>
      <c r="AD56" s="3">
        <v>114444</v>
      </c>
      <c r="AE56" s="3">
        <v>22992</v>
      </c>
      <c r="AF56" s="3">
        <v>93817</v>
      </c>
      <c r="AG56" s="4">
        <f t="shared" si="0"/>
        <v>482960</v>
      </c>
    </row>
    <row r="57" spans="1:33" x14ac:dyDescent="0.25">
      <c r="A57" s="1">
        <v>49</v>
      </c>
      <c r="B57" s="2" t="s">
        <v>177</v>
      </c>
      <c r="C57" s="2" t="s">
        <v>84</v>
      </c>
      <c r="D57" s="2" t="s">
        <v>271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3"/>
      <c r="AC57" s="3"/>
      <c r="AD57" s="3"/>
      <c r="AE57" s="3"/>
      <c r="AF57" s="3"/>
      <c r="AG57" s="4">
        <f t="shared" si="0"/>
        <v>0</v>
      </c>
    </row>
    <row r="58" spans="1:33" x14ac:dyDescent="0.25">
      <c r="A58" s="1">
        <v>50</v>
      </c>
      <c r="B58" s="2" t="s">
        <v>213</v>
      </c>
      <c r="C58" s="2" t="s">
        <v>84</v>
      </c>
      <c r="D58" s="2" t="s">
        <v>271</v>
      </c>
      <c r="E58" s="1"/>
      <c r="F58" s="1"/>
      <c r="G58" s="1">
        <v>150</v>
      </c>
      <c r="H58" s="1"/>
      <c r="I58" s="1"/>
      <c r="J58" s="1"/>
      <c r="K58" s="1"/>
      <c r="L58" s="1"/>
      <c r="M58" s="1"/>
      <c r="N58" s="1"/>
      <c r="O58" s="1">
        <v>200</v>
      </c>
      <c r="P58" s="1">
        <v>50</v>
      </c>
      <c r="Q58" s="1">
        <v>100</v>
      </c>
      <c r="R58" s="1">
        <v>50</v>
      </c>
      <c r="S58" s="1">
        <v>50</v>
      </c>
      <c r="T58" s="1">
        <v>50</v>
      </c>
      <c r="U58" s="1">
        <v>50</v>
      </c>
      <c r="V58" s="1">
        <v>150</v>
      </c>
      <c r="W58" s="1"/>
      <c r="X58" s="1"/>
      <c r="Y58" s="1"/>
      <c r="Z58" s="1"/>
      <c r="AA58" s="1"/>
      <c r="AB58" s="3">
        <v>133736</v>
      </c>
      <c r="AC58" s="3"/>
      <c r="AD58" s="3">
        <v>371615</v>
      </c>
      <c r="AE58" s="3"/>
      <c r="AF58" s="3"/>
      <c r="AG58" s="4">
        <f t="shared" si="0"/>
        <v>505351</v>
      </c>
    </row>
    <row r="59" spans="1:33" x14ac:dyDescent="0.25">
      <c r="A59" s="1">
        <v>51</v>
      </c>
      <c r="B59" s="2" t="s">
        <v>85</v>
      </c>
      <c r="C59" s="2" t="s">
        <v>86</v>
      </c>
      <c r="D59" s="2" t="s">
        <v>271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"/>
      <c r="AC59" s="3"/>
      <c r="AD59" s="3"/>
      <c r="AE59" s="3"/>
      <c r="AF59" s="3"/>
      <c r="AG59" s="4">
        <f t="shared" si="0"/>
        <v>0</v>
      </c>
    </row>
    <row r="60" spans="1:33" x14ac:dyDescent="0.25">
      <c r="A60" s="1">
        <v>52</v>
      </c>
      <c r="B60" s="5" t="s">
        <v>296</v>
      </c>
      <c r="C60" s="5" t="s">
        <v>90</v>
      </c>
      <c r="D60" s="5" t="s">
        <v>271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"/>
      <c r="AC60" s="3"/>
      <c r="AD60" s="3"/>
      <c r="AE60" s="3"/>
      <c r="AF60" s="3"/>
      <c r="AG60" s="4">
        <f t="shared" si="0"/>
        <v>0</v>
      </c>
    </row>
    <row r="61" spans="1:33" x14ac:dyDescent="0.25">
      <c r="A61" s="1">
        <v>53</v>
      </c>
      <c r="B61" s="2" t="s">
        <v>91</v>
      </c>
      <c r="C61" s="2" t="s">
        <v>92</v>
      </c>
      <c r="D61" s="2" t="s">
        <v>271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3"/>
      <c r="AC61" s="3"/>
      <c r="AD61" s="3"/>
      <c r="AE61" s="3"/>
      <c r="AF61" s="3"/>
      <c r="AG61" s="4">
        <f t="shared" si="0"/>
        <v>0</v>
      </c>
    </row>
    <row r="62" spans="1:33" x14ac:dyDescent="0.25">
      <c r="A62" s="1">
        <v>54</v>
      </c>
      <c r="B62" s="2" t="s">
        <v>93</v>
      </c>
      <c r="C62" s="2" t="s">
        <v>94</v>
      </c>
      <c r="D62" s="2" t="s">
        <v>271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3"/>
      <c r="AC62" s="3"/>
      <c r="AD62" s="3"/>
      <c r="AE62" s="3"/>
      <c r="AF62" s="3"/>
      <c r="AG62" s="4">
        <f t="shared" si="0"/>
        <v>0</v>
      </c>
    </row>
    <row r="63" spans="1:33" x14ac:dyDescent="0.25">
      <c r="A63" s="1">
        <v>55</v>
      </c>
      <c r="B63" s="2" t="s">
        <v>95</v>
      </c>
      <c r="C63" s="2" t="s">
        <v>96</v>
      </c>
      <c r="D63" s="2" t="s">
        <v>271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"/>
      <c r="AC63" s="3"/>
      <c r="AD63" s="3"/>
      <c r="AE63" s="3"/>
      <c r="AF63" s="3"/>
      <c r="AG63" s="4">
        <f t="shared" si="0"/>
        <v>0</v>
      </c>
    </row>
    <row r="64" spans="1:33" x14ac:dyDescent="0.25">
      <c r="A64" s="1">
        <v>56</v>
      </c>
      <c r="B64" s="2" t="s">
        <v>97</v>
      </c>
      <c r="C64" s="2" t="s">
        <v>98</v>
      </c>
      <c r="D64" s="2" t="s">
        <v>271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3"/>
      <c r="AC64" s="3"/>
      <c r="AD64" s="3"/>
      <c r="AE64" s="3"/>
      <c r="AF64" s="3"/>
      <c r="AG64" s="4">
        <f t="shared" si="0"/>
        <v>0</v>
      </c>
    </row>
    <row r="65" spans="1:33" x14ac:dyDescent="0.25">
      <c r="A65" s="1">
        <v>57</v>
      </c>
      <c r="B65" s="2" t="s">
        <v>99</v>
      </c>
      <c r="C65" s="2" t="s">
        <v>100</v>
      </c>
      <c r="D65" s="2" t="s">
        <v>271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3"/>
      <c r="AC65" s="3"/>
      <c r="AD65" s="3"/>
      <c r="AE65" s="3"/>
      <c r="AF65" s="3"/>
      <c r="AG65" s="4">
        <f t="shared" si="0"/>
        <v>0</v>
      </c>
    </row>
    <row r="66" spans="1:33" x14ac:dyDescent="0.25">
      <c r="A66" s="1">
        <v>58</v>
      </c>
      <c r="B66" s="2" t="s">
        <v>101</v>
      </c>
      <c r="C66" s="2" t="s">
        <v>102</v>
      </c>
      <c r="D66" s="2" t="s">
        <v>271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"/>
      <c r="AC66" s="3"/>
      <c r="AD66" s="3"/>
      <c r="AE66" s="3"/>
      <c r="AF66" s="3"/>
      <c r="AG66" s="4">
        <f t="shared" si="0"/>
        <v>0</v>
      </c>
    </row>
    <row r="67" spans="1:33" x14ac:dyDescent="0.25">
      <c r="A67" s="1">
        <v>59</v>
      </c>
      <c r="B67" s="2" t="s">
        <v>103</v>
      </c>
      <c r="C67" s="2" t="s">
        <v>104</v>
      </c>
      <c r="D67" s="2" t="s">
        <v>271</v>
      </c>
      <c r="E67" s="1"/>
      <c r="F67" s="1">
        <v>400</v>
      </c>
      <c r="G67" s="1"/>
      <c r="H67" s="1"/>
      <c r="I67" s="1"/>
      <c r="J67" s="1">
        <v>30</v>
      </c>
      <c r="K67" s="1"/>
      <c r="L67" s="1"/>
      <c r="M67" s="1"/>
      <c r="N67" s="1"/>
      <c r="O67" s="1">
        <v>50</v>
      </c>
      <c r="P67" s="1">
        <v>30</v>
      </c>
      <c r="Q67" s="1">
        <v>50</v>
      </c>
      <c r="R67" s="1">
        <v>10</v>
      </c>
      <c r="S67" s="1"/>
      <c r="T67" s="1">
        <v>40</v>
      </c>
      <c r="U67" s="1">
        <v>30</v>
      </c>
      <c r="V67" s="1"/>
      <c r="W67" s="1">
        <v>100</v>
      </c>
      <c r="X67" s="1"/>
      <c r="Y67" s="1"/>
      <c r="Z67" s="1"/>
      <c r="AA67" s="1"/>
      <c r="AB67" s="3">
        <v>240223</v>
      </c>
      <c r="AC67" s="3"/>
      <c r="AD67" s="3">
        <v>115546</v>
      </c>
      <c r="AE67" s="3">
        <v>90199</v>
      </c>
      <c r="AF67" s="3"/>
      <c r="AG67" s="4">
        <f t="shared" si="0"/>
        <v>445968</v>
      </c>
    </row>
    <row r="68" spans="1:33" x14ac:dyDescent="0.25">
      <c r="A68" s="1">
        <v>60</v>
      </c>
      <c r="B68" s="2" t="s">
        <v>201</v>
      </c>
      <c r="C68" s="2" t="s">
        <v>202</v>
      </c>
      <c r="D68" s="2" t="s">
        <v>271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3"/>
      <c r="AC68" s="3"/>
      <c r="AD68" s="3"/>
      <c r="AE68" s="3"/>
      <c r="AF68" s="3"/>
      <c r="AG68" s="4">
        <f t="shared" si="0"/>
        <v>0</v>
      </c>
    </row>
    <row r="69" spans="1:33" x14ac:dyDescent="0.25">
      <c r="A69" s="1">
        <v>61</v>
      </c>
      <c r="B69" s="2" t="s">
        <v>169</v>
      </c>
      <c r="C69" s="2" t="s">
        <v>170</v>
      </c>
      <c r="D69" s="2" t="s">
        <v>271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"/>
      <c r="AC69" s="3"/>
      <c r="AD69" s="3"/>
      <c r="AE69" s="3"/>
      <c r="AF69" s="3"/>
      <c r="AG69" s="4">
        <f t="shared" si="0"/>
        <v>0</v>
      </c>
    </row>
    <row r="70" spans="1:33" x14ac:dyDescent="0.25">
      <c r="A70" s="1">
        <v>62</v>
      </c>
      <c r="B70" s="2" t="s">
        <v>284</v>
      </c>
      <c r="C70" s="2" t="s">
        <v>285</v>
      </c>
      <c r="D70" s="2" t="s">
        <v>271</v>
      </c>
      <c r="E70" s="1">
        <v>151</v>
      </c>
      <c r="F70" s="1">
        <v>150</v>
      </c>
      <c r="G70" s="1"/>
      <c r="H70" s="1"/>
      <c r="I70" s="1"/>
      <c r="J70" s="1"/>
      <c r="K70" s="1"/>
      <c r="L70" s="1"/>
      <c r="M70" s="1"/>
      <c r="N70" s="1"/>
      <c r="O70" s="1">
        <v>40</v>
      </c>
      <c r="P70" s="1"/>
      <c r="Q70" s="1">
        <v>40</v>
      </c>
      <c r="R70" s="1"/>
      <c r="S70" s="1"/>
      <c r="T70" s="1">
        <v>40</v>
      </c>
      <c r="U70" s="1">
        <v>40</v>
      </c>
      <c r="V70" s="1"/>
      <c r="W70" s="1">
        <v>150</v>
      </c>
      <c r="X70" s="1"/>
      <c r="Y70" s="1"/>
      <c r="Z70" s="1"/>
      <c r="AA70" s="1"/>
      <c r="AB70" s="3">
        <v>163157</v>
      </c>
      <c r="AC70" s="3"/>
      <c r="AD70" s="3">
        <v>88053</v>
      </c>
      <c r="AE70" s="3">
        <v>135299</v>
      </c>
      <c r="AF70" s="3"/>
      <c r="AG70" s="4">
        <f t="shared" si="0"/>
        <v>386509</v>
      </c>
    </row>
    <row r="71" spans="1:33" x14ac:dyDescent="0.25">
      <c r="A71" s="1">
        <v>63</v>
      </c>
      <c r="B71" s="2" t="s">
        <v>306</v>
      </c>
      <c r="C71" s="2" t="s">
        <v>307</v>
      </c>
      <c r="D71" s="2" t="s">
        <v>271</v>
      </c>
      <c r="E71" s="1"/>
      <c r="F71" s="1"/>
      <c r="G71" s="1">
        <v>5</v>
      </c>
      <c r="H71" s="1"/>
      <c r="I71" s="1">
        <v>50</v>
      </c>
      <c r="J71" s="1">
        <v>30</v>
      </c>
      <c r="K71" s="1"/>
      <c r="L71" s="1"/>
      <c r="M71" s="1"/>
      <c r="N71" s="1"/>
      <c r="O71" s="1">
        <v>200</v>
      </c>
      <c r="P71" s="1">
        <v>50</v>
      </c>
      <c r="Q71" s="1">
        <v>130</v>
      </c>
      <c r="R71" s="1">
        <v>50</v>
      </c>
      <c r="S71" s="1">
        <v>30</v>
      </c>
      <c r="T71" s="1">
        <v>40</v>
      </c>
      <c r="U71" s="1"/>
      <c r="V71" s="1">
        <v>50</v>
      </c>
      <c r="W71" s="1">
        <v>100</v>
      </c>
      <c r="X71" s="1"/>
      <c r="Y71" s="1"/>
      <c r="Z71" s="1"/>
      <c r="AA71" s="1"/>
      <c r="AB71" s="3">
        <v>71992</v>
      </c>
      <c r="AC71" s="3"/>
      <c r="AD71" s="3">
        <v>298209</v>
      </c>
      <c r="AE71" s="3">
        <v>90199</v>
      </c>
      <c r="AF71" s="3"/>
      <c r="AG71" s="4">
        <f t="shared" si="0"/>
        <v>460400</v>
      </c>
    </row>
    <row r="72" spans="1:33" x14ac:dyDescent="0.25">
      <c r="A72" s="1">
        <v>64</v>
      </c>
      <c r="B72" s="2" t="s">
        <v>105</v>
      </c>
      <c r="C72" s="2" t="s">
        <v>106</v>
      </c>
      <c r="D72" s="2" t="s">
        <v>272</v>
      </c>
      <c r="E72" s="1">
        <f>650+500</f>
        <v>1150</v>
      </c>
      <c r="F72" s="1"/>
      <c r="G72" s="1"/>
      <c r="H72" s="1"/>
      <c r="I72" s="1"/>
      <c r="J72" s="1"/>
      <c r="K72" s="1"/>
      <c r="L72" s="1"/>
      <c r="M72" s="1"/>
      <c r="N72" s="1"/>
      <c r="O72" s="1">
        <f>550+400</f>
        <v>950</v>
      </c>
      <c r="P72" s="1">
        <f>350+400</f>
        <v>750</v>
      </c>
      <c r="Q72" s="1">
        <v>25</v>
      </c>
      <c r="R72" s="1">
        <f>50+25</f>
        <v>75</v>
      </c>
      <c r="S72" s="1"/>
      <c r="T72" s="1">
        <f>50</f>
        <v>50</v>
      </c>
      <c r="U72" s="1">
        <f>30+25</f>
        <v>55</v>
      </c>
      <c r="V72" s="1">
        <f>50+50</f>
        <v>100</v>
      </c>
      <c r="W72" s="1">
        <v>250</v>
      </c>
      <c r="X72" s="1"/>
      <c r="Y72" s="1"/>
      <c r="Z72" s="1"/>
      <c r="AA72" s="1"/>
      <c r="AB72" s="3">
        <f>352334+271026</f>
        <v>623360</v>
      </c>
      <c r="AC72" s="3"/>
      <c r="AD72" s="3">
        <f>589996+504662</f>
        <v>1094658</v>
      </c>
      <c r="AE72" s="3">
        <v>225498</v>
      </c>
      <c r="AF72" s="3"/>
      <c r="AG72" s="4">
        <f t="shared" si="0"/>
        <v>1943516</v>
      </c>
    </row>
    <row r="73" spans="1:33" x14ac:dyDescent="0.25">
      <c r="A73" s="1">
        <v>65</v>
      </c>
      <c r="B73" s="2" t="s">
        <v>109</v>
      </c>
      <c r="C73" s="2" t="s">
        <v>275</v>
      </c>
      <c r="D73" s="2" t="s">
        <v>273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3"/>
      <c r="AC73" s="3"/>
      <c r="AD73" s="3"/>
      <c r="AE73" s="3"/>
      <c r="AF73" s="3"/>
      <c r="AG73" s="4">
        <f t="shared" si="0"/>
        <v>0</v>
      </c>
    </row>
    <row r="74" spans="1:33" x14ac:dyDescent="0.25">
      <c r="A74" s="1">
        <v>66</v>
      </c>
      <c r="B74" s="2" t="s">
        <v>179</v>
      </c>
      <c r="C74" s="2" t="s">
        <v>174</v>
      </c>
      <c r="D74" s="2" t="s">
        <v>273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"/>
      <c r="AC74" s="3"/>
      <c r="AD74" s="3"/>
      <c r="AE74" s="3"/>
      <c r="AF74" s="3"/>
      <c r="AG74" s="4">
        <f t="shared" si="0"/>
        <v>0</v>
      </c>
    </row>
    <row r="75" spans="1:33" x14ac:dyDescent="0.25">
      <c r="A75" s="1">
        <v>67</v>
      </c>
      <c r="B75" s="2" t="s">
        <v>211</v>
      </c>
      <c r="C75" s="2" t="s">
        <v>212</v>
      </c>
      <c r="D75" s="2" t="s">
        <v>273</v>
      </c>
      <c r="E75" s="1">
        <v>500</v>
      </c>
      <c r="F75" s="1">
        <v>100</v>
      </c>
      <c r="G75" s="1"/>
      <c r="H75" s="1"/>
      <c r="I75" s="1"/>
      <c r="J75" s="1"/>
      <c r="K75" s="1"/>
      <c r="L75" s="1">
        <v>10</v>
      </c>
      <c r="M75" s="1">
        <v>30</v>
      </c>
      <c r="N75" s="1">
        <v>10</v>
      </c>
      <c r="O75" s="1">
        <v>30</v>
      </c>
      <c r="P75" s="1"/>
      <c r="Q75" s="1">
        <v>30</v>
      </c>
      <c r="R75" s="1"/>
      <c r="S75" s="1"/>
      <c r="T75" s="1"/>
      <c r="U75" s="1">
        <v>70</v>
      </c>
      <c r="V75" s="1">
        <v>70</v>
      </c>
      <c r="W75" s="1"/>
      <c r="X75" s="1">
        <v>20</v>
      </c>
      <c r="Y75" s="1">
        <v>20</v>
      </c>
      <c r="Z75" s="1">
        <v>6</v>
      </c>
      <c r="AA75" s="1">
        <v>20</v>
      </c>
      <c r="AB75" s="3">
        <v>176791</v>
      </c>
      <c r="AC75" s="3">
        <v>36802</v>
      </c>
      <c r="AD75" s="3">
        <v>101075</v>
      </c>
      <c r="AE75" s="3"/>
      <c r="AF75" s="3">
        <v>29485</v>
      </c>
      <c r="AG75" s="4">
        <f t="shared" si="0"/>
        <v>344153</v>
      </c>
    </row>
    <row r="76" spans="1:33" hidden="1" x14ac:dyDescent="0.25">
      <c r="A76" s="1"/>
      <c r="B76" s="28" t="s">
        <v>214</v>
      </c>
      <c r="C76" s="28" t="s">
        <v>276</v>
      </c>
      <c r="D76" s="28" t="s">
        <v>273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"/>
      <c r="AC76" s="3"/>
      <c r="AD76" s="3"/>
      <c r="AE76" s="3"/>
      <c r="AF76" s="3"/>
      <c r="AG76" s="4">
        <f t="shared" si="0"/>
        <v>0</v>
      </c>
    </row>
    <row r="77" spans="1:33" x14ac:dyDescent="0.25">
      <c r="A77" s="1">
        <v>68</v>
      </c>
      <c r="B77" s="2" t="s">
        <v>303</v>
      </c>
      <c r="C77" s="2" t="s">
        <v>108</v>
      </c>
      <c r="D77" s="2" t="s">
        <v>273</v>
      </c>
      <c r="E77" s="1">
        <v>291</v>
      </c>
      <c r="F77" s="1">
        <v>100</v>
      </c>
      <c r="G77" s="1"/>
      <c r="H77" s="1"/>
      <c r="I77" s="1">
        <v>10</v>
      </c>
      <c r="J77" s="1"/>
      <c r="K77" s="1"/>
      <c r="L77" s="1"/>
      <c r="M77" s="1">
        <v>10</v>
      </c>
      <c r="N77" s="1"/>
      <c r="O77" s="1">
        <v>20</v>
      </c>
      <c r="P77" s="1">
        <v>100</v>
      </c>
      <c r="Q77" s="1">
        <v>20</v>
      </c>
      <c r="R77" s="1">
        <v>100</v>
      </c>
      <c r="S77" s="1">
        <v>20</v>
      </c>
      <c r="T77" s="1">
        <v>100</v>
      </c>
      <c r="U77" s="1">
        <v>20</v>
      </c>
      <c r="V77" s="1">
        <v>40</v>
      </c>
      <c r="W77" s="1">
        <v>50</v>
      </c>
      <c r="X77" s="1">
        <v>40</v>
      </c>
      <c r="Y77" s="1">
        <v>50</v>
      </c>
      <c r="Z77" s="1">
        <v>40</v>
      </c>
      <c r="AA77" s="1">
        <v>70</v>
      </c>
      <c r="AB77" s="3">
        <v>132243</v>
      </c>
      <c r="AC77" s="3">
        <v>6499</v>
      </c>
      <c r="AD77" s="3">
        <v>221655</v>
      </c>
      <c r="AE77" s="3">
        <v>44639</v>
      </c>
      <c r="AF77" s="3">
        <v>89350</v>
      </c>
      <c r="AG77" s="4">
        <f t="shared" si="0"/>
        <v>494386</v>
      </c>
    </row>
    <row r="78" spans="1:33" x14ac:dyDescent="0.25">
      <c r="A78" s="1">
        <v>69</v>
      </c>
      <c r="B78" s="5" t="s">
        <v>111</v>
      </c>
      <c r="C78" s="2" t="s">
        <v>112</v>
      </c>
      <c r="D78" s="2" t="s">
        <v>274</v>
      </c>
      <c r="E78" s="1">
        <f>360+350</f>
        <v>710</v>
      </c>
      <c r="F78" s="1">
        <f>130+180</f>
        <v>310</v>
      </c>
      <c r="G78" s="1">
        <f>15</f>
        <v>15</v>
      </c>
      <c r="H78" s="1">
        <v>25</v>
      </c>
      <c r="I78" s="1">
        <f>35</f>
        <v>35</v>
      </c>
      <c r="J78" s="1"/>
      <c r="K78" s="1"/>
      <c r="L78" s="1"/>
      <c r="M78" s="1"/>
      <c r="N78" s="1"/>
      <c r="O78" s="1">
        <f>20</f>
        <v>20</v>
      </c>
      <c r="P78" s="1">
        <f>20</f>
        <v>20</v>
      </c>
      <c r="Q78" s="1">
        <f>20</f>
        <v>20</v>
      </c>
      <c r="R78" s="1"/>
      <c r="S78" s="1"/>
      <c r="T78" s="1"/>
      <c r="U78" s="1">
        <f>20</f>
        <v>20</v>
      </c>
      <c r="V78" s="1"/>
      <c r="W78" s="1"/>
      <c r="X78" s="1">
        <f>10</f>
        <v>10</v>
      </c>
      <c r="Y78" s="1">
        <f>10</f>
        <v>10</v>
      </c>
      <c r="Z78" s="1"/>
      <c r="AA78" s="1"/>
      <c r="AB78" s="3">
        <f>197856+193886</f>
        <v>391742</v>
      </c>
      <c r="AC78" s="3"/>
      <c r="AD78" s="3">
        <f>42939</f>
        <v>42939</v>
      </c>
      <c r="AE78" s="3"/>
      <c r="AF78" s="3">
        <v>8935</v>
      </c>
      <c r="AG78" s="4">
        <f t="shared" ref="AG78:AG97" si="1">AB78+AC78+AD78+AF78+AE78</f>
        <v>443616</v>
      </c>
    </row>
    <row r="79" spans="1:33" x14ac:dyDescent="0.25">
      <c r="A79" s="1">
        <v>70</v>
      </c>
      <c r="B79" s="2" t="s">
        <v>113</v>
      </c>
      <c r="C79" s="2" t="s">
        <v>114</v>
      </c>
      <c r="D79" s="2" t="s">
        <v>274</v>
      </c>
      <c r="E79" s="1">
        <v>10</v>
      </c>
      <c r="F79" s="1">
        <v>10</v>
      </c>
      <c r="G79" s="1">
        <v>5</v>
      </c>
      <c r="H79" s="1">
        <v>5</v>
      </c>
      <c r="I79" s="1">
        <v>110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3">
        <v>105260</v>
      </c>
      <c r="AC79" s="3"/>
      <c r="AD79" s="3"/>
      <c r="AE79" s="3"/>
      <c r="AF79" s="3"/>
      <c r="AG79" s="4">
        <f t="shared" si="1"/>
        <v>105260</v>
      </c>
    </row>
    <row r="80" spans="1:33" x14ac:dyDescent="0.25">
      <c r="A80" s="1">
        <v>71</v>
      </c>
      <c r="B80" s="2" t="s">
        <v>115</v>
      </c>
      <c r="C80" s="2" t="s">
        <v>116</v>
      </c>
      <c r="D80" s="2" t="s">
        <v>274</v>
      </c>
      <c r="E80" s="1">
        <f>30</f>
        <v>30</v>
      </c>
      <c r="F80" s="1">
        <f>40</f>
        <v>40</v>
      </c>
      <c r="G80" s="1"/>
      <c r="H80" s="1"/>
      <c r="I80" s="1">
        <f>175</f>
        <v>175</v>
      </c>
      <c r="J80" s="1">
        <f>83</f>
        <v>83</v>
      </c>
      <c r="K80" s="1"/>
      <c r="L80" s="1"/>
      <c r="M80" s="1">
        <f>5</f>
        <v>5</v>
      </c>
      <c r="N80" s="1">
        <f>5</f>
        <v>5</v>
      </c>
      <c r="O80" s="1">
        <f>20</f>
        <v>20</v>
      </c>
      <c r="P80" s="1">
        <f>10</f>
        <v>10</v>
      </c>
      <c r="Q80" s="1"/>
      <c r="R80" s="1"/>
      <c r="S80" s="1"/>
      <c r="T80" s="1">
        <f>10</f>
        <v>10</v>
      </c>
      <c r="U80" s="1">
        <f>10</f>
        <v>10</v>
      </c>
      <c r="V80" s="1"/>
      <c r="W80" s="1"/>
      <c r="X80" s="1">
        <f>5</f>
        <v>5</v>
      </c>
      <c r="Y80" s="1">
        <f>5</f>
        <v>5</v>
      </c>
      <c r="Z80" s="1"/>
      <c r="AA80" s="1"/>
      <c r="AB80" s="3">
        <f>232075</f>
        <v>232075</v>
      </c>
      <c r="AC80" s="3">
        <f>7576</f>
        <v>7576</v>
      </c>
      <c r="AD80" s="3">
        <f>26831</f>
        <v>26831</v>
      </c>
      <c r="AE80" s="3"/>
      <c r="AF80" s="3">
        <f>4644</f>
        <v>4644</v>
      </c>
      <c r="AG80" s="4">
        <f t="shared" si="1"/>
        <v>271126</v>
      </c>
    </row>
    <row r="81" spans="1:33" x14ac:dyDescent="0.25">
      <c r="A81" s="1">
        <v>72</v>
      </c>
      <c r="B81" s="2" t="s">
        <v>158</v>
      </c>
      <c r="C81" s="2" t="s">
        <v>118</v>
      </c>
      <c r="D81" s="2" t="s">
        <v>274</v>
      </c>
      <c r="E81" s="1">
        <f>200+200</f>
        <v>400</v>
      </c>
      <c r="F81" s="1">
        <f>115+100</f>
        <v>215</v>
      </c>
      <c r="G81" s="1"/>
      <c r="H81" s="1"/>
      <c r="I81" s="1">
        <f>30</f>
        <v>30</v>
      </c>
      <c r="J81" s="1"/>
      <c r="K81" s="1"/>
      <c r="L81" s="1"/>
      <c r="M81" s="1"/>
      <c r="N81" s="1"/>
      <c r="O81" s="1">
        <f>100+70</f>
        <v>170</v>
      </c>
      <c r="P81" s="1"/>
      <c r="Q81" s="1">
        <f>60+60</f>
        <v>120</v>
      </c>
      <c r="R81" s="1"/>
      <c r="S81" s="1">
        <f>25</f>
        <v>25</v>
      </c>
      <c r="T81" s="1"/>
      <c r="U81" s="1"/>
      <c r="V81" s="1"/>
      <c r="W81" s="1"/>
      <c r="X81" s="1"/>
      <c r="Y81" s="1"/>
      <c r="Z81" s="1"/>
      <c r="AA81" s="1"/>
      <c r="AB81" s="3">
        <f>133296+101040</f>
        <v>234336</v>
      </c>
      <c r="AC81" s="3"/>
      <c r="AD81" s="3">
        <f>99335+69803</f>
        <v>169138</v>
      </c>
      <c r="AE81" s="3"/>
      <c r="AF81" s="3"/>
      <c r="AG81" s="4">
        <f t="shared" si="1"/>
        <v>403474</v>
      </c>
    </row>
    <row r="82" spans="1:33" x14ac:dyDescent="0.25">
      <c r="A82" s="1">
        <v>73</v>
      </c>
      <c r="B82" s="2" t="s">
        <v>121</v>
      </c>
      <c r="C82" s="2" t="s">
        <v>122</v>
      </c>
      <c r="D82" s="2" t="s">
        <v>274</v>
      </c>
      <c r="E82" s="1">
        <f>600+1000</f>
        <v>1600</v>
      </c>
      <c r="F82" s="1">
        <f>170+100</f>
        <v>270</v>
      </c>
      <c r="G82" s="1">
        <f>10</f>
        <v>10</v>
      </c>
      <c r="H82" s="1">
        <f>5</f>
        <v>5</v>
      </c>
      <c r="I82" s="1">
        <f>90+50</f>
        <v>140</v>
      </c>
      <c r="J82" s="1"/>
      <c r="K82" s="1"/>
      <c r="L82" s="1">
        <f>10</f>
        <v>10</v>
      </c>
      <c r="M82" s="1">
        <f>5</f>
        <v>5</v>
      </c>
      <c r="N82" s="1">
        <f>5</f>
        <v>5</v>
      </c>
      <c r="O82" s="1">
        <f>50</f>
        <v>50</v>
      </c>
      <c r="P82" s="1">
        <f>20+30</f>
        <v>50</v>
      </c>
      <c r="Q82" s="1">
        <f>50</f>
        <v>50</v>
      </c>
      <c r="R82" s="1">
        <f>20+20</f>
        <v>40</v>
      </c>
      <c r="S82" s="1">
        <f>30</f>
        <v>30</v>
      </c>
      <c r="T82" s="1">
        <f>30</f>
        <v>30</v>
      </c>
      <c r="U82" s="1">
        <f>20+30</f>
        <v>50</v>
      </c>
      <c r="V82" s="1">
        <f>20</f>
        <v>20</v>
      </c>
      <c r="W82" s="1">
        <f>50</f>
        <v>50</v>
      </c>
      <c r="X82" s="1">
        <f>10</f>
        <v>10</v>
      </c>
      <c r="Y82" s="1">
        <f>15+5</f>
        <v>20</v>
      </c>
      <c r="Z82" s="1">
        <f>10</f>
        <v>10</v>
      </c>
      <c r="AA82" s="1">
        <f>15+5</f>
        <v>20</v>
      </c>
      <c r="AB82" s="3">
        <f>311446+355388</f>
        <v>666834</v>
      </c>
      <c r="AC82" s="3">
        <f>11902+4326</f>
        <v>16228</v>
      </c>
      <c r="AD82" s="3">
        <f>127004+42913</f>
        <v>169917</v>
      </c>
      <c r="AE82" s="3">
        <f>45099</f>
        <v>45099</v>
      </c>
      <c r="AF82" s="3">
        <f>22337+4645</f>
        <v>26982</v>
      </c>
      <c r="AG82" s="4">
        <f t="shared" si="1"/>
        <v>925060</v>
      </c>
    </row>
    <row r="83" spans="1:33" x14ac:dyDescent="0.25">
      <c r="A83" s="1">
        <v>74</v>
      </c>
      <c r="B83" s="5" t="s">
        <v>123</v>
      </c>
      <c r="C83" s="2" t="s">
        <v>124</v>
      </c>
      <c r="D83" s="2" t="s">
        <v>274</v>
      </c>
      <c r="E83" s="1"/>
      <c r="F83" s="1">
        <v>25</v>
      </c>
      <c r="G83" s="1"/>
      <c r="H83" s="1"/>
      <c r="I83" s="1">
        <v>40</v>
      </c>
      <c r="J83" s="1"/>
      <c r="K83" s="1"/>
      <c r="L83" s="1"/>
      <c r="M83" s="1"/>
      <c r="N83" s="1"/>
      <c r="O83" s="1">
        <v>90</v>
      </c>
      <c r="P83" s="1">
        <v>10</v>
      </c>
      <c r="Q83" s="1">
        <v>100</v>
      </c>
      <c r="R83" s="1">
        <v>5</v>
      </c>
      <c r="S83" s="1">
        <v>10</v>
      </c>
      <c r="T83" s="1">
        <v>10</v>
      </c>
      <c r="U83" s="1">
        <v>20</v>
      </c>
      <c r="V83" s="1">
        <v>5</v>
      </c>
      <c r="W83" s="1">
        <v>3</v>
      </c>
      <c r="X83" s="1">
        <v>10</v>
      </c>
      <c r="Y83" s="1">
        <v>10</v>
      </c>
      <c r="Z83" s="1">
        <v>12</v>
      </c>
      <c r="AA83" s="1">
        <v>12</v>
      </c>
      <c r="AB83" s="3">
        <v>45536</v>
      </c>
      <c r="AC83" s="3"/>
      <c r="AD83" s="3">
        <v>133765</v>
      </c>
      <c r="AE83" s="3">
        <v>2759</v>
      </c>
      <c r="AF83" s="3">
        <v>19656</v>
      </c>
      <c r="AG83" s="4">
        <f t="shared" si="1"/>
        <v>201716</v>
      </c>
    </row>
    <row r="84" spans="1:33" x14ac:dyDescent="0.25">
      <c r="A84" s="1">
        <v>75</v>
      </c>
      <c r="B84" s="5" t="s">
        <v>125</v>
      </c>
      <c r="C84" s="2" t="s">
        <v>126</v>
      </c>
      <c r="D84" s="2" t="s">
        <v>274</v>
      </c>
      <c r="E84" s="1">
        <v>130</v>
      </c>
      <c r="F84" s="1">
        <v>130</v>
      </c>
      <c r="G84" s="1"/>
      <c r="H84" s="1"/>
      <c r="I84" s="1"/>
      <c r="J84" s="1"/>
      <c r="K84" s="1"/>
      <c r="L84" s="1"/>
      <c r="M84" s="1"/>
      <c r="N84" s="1"/>
      <c r="O84" s="1">
        <v>20</v>
      </c>
      <c r="P84" s="1">
        <v>40</v>
      </c>
      <c r="Q84" s="1">
        <v>40</v>
      </c>
      <c r="R84" s="1">
        <v>40</v>
      </c>
      <c r="S84" s="1">
        <v>10</v>
      </c>
      <c r="T84" s="1">
        <v>40</v>
      </c>
      <c r="U84" s="1">
        <v>40</v>
      </c>
      <c r="V84" s="1">
        <v>40</v>
      </c>
      <c r="W84" s="1">
        <v>5</v>
      </c>
      <c r="X84" s="1"/>
      <c r="Y84" s="1"/>
      <c r="Z84" s="1"/>
      <c r="AA84" s="1"/>
      <c r="AB84" s="3">
        <v>98526</v>
      </c>
      <c r="AC84" s="3"/>
      <c r="AD84" s="3">
        <v>141266</v>
      </c>
      <c r="AE84" s="3">
        <v>4598</v>
      </c>
      <c r="AF84" s="3"/>
      <c r="AG84" s="4">
        <f t="shared" si="1"/>
        <v>244390</v>
      </c>
    </row>
    <row r="85" spans="1:33" x14ac:dyDescent="0.25">
      <c r="A85" s="1">
        <v>76</v>
      </c>
      <c r="B85" s="2" t="s">
        <v>127</v>
      </c>
      <c r="C85" s="2" t="s">
        <v>128</v>
      </c>
      <c r="D85" s="2" t="s">
        <v>274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3"/>
      <c r="AC85" s="3"/>
      <c r="AD85" s="3"/>
      <c r="AE85" s="3"/>
      <c r="AF85" s="3"/>
      <c r="AG85" s="4">
        <f t="shared" si="1"/>
        <v>0</v>
      </c>
    </row>
    <row r="86" spans="1:33" x14ac:dyDescent="0.25">
      <c r="A86" s="1">
        <v>77</v>
      </c>
      <c r="B86" s="5" t="s">
        <v>131</v>
      </c>
      <c r="C86" s="5" t="s">
        <v>132</v>
      </c>
      <c r="D86" s="2" t="s">
        <v>274</v>
      </c>
      <c r="E86" s="1">
        <f>100</f>
        <v>100</v>
      </c>
      <c r="F86" s="1"/>
      <c r="G86" s="1"/>
      <c r="H86" s="1"/>
      <c r="I86" s="1">
        <f>5</f>
        <v>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3">
        <f>16834+4113</f>
        <v>20947</v>
      </c>
      <c r="AC86" s="3"/>
      <c r="AD86" s="3"/>
      <c r="AE86" s="3"/>
      <c r="AF86" s="3"/>
      <c r="AG86" s="4">
        <f t="shared" si="1"/>
        <v>20947</v>
      </c>
    </row>
    <row r="87" spans="1:33" x14ac:dyDescent="0.25">
      <c r="A87" s="1">
        <v>78</v>
      </c>
      <c r="B87" s="2" t="s">
        <v>133</v>
      </c>
      <c r="C87" s="2" t="s">
        <v>132</v>
      </c>
      <c r="D87" s="2" t="s">
        <v>274</v>
      </c>
      <c r="E87" s="1">
        <v>290</v>
      </c>
      <c r="F87" s="1"/>
      <c r="G87" s="1"/>
      <c r="H87" s="1">
        <v>10</v>
      </c>
      <c r="I87" s="1"/>
      <c r="J87" s="1"/>
      <c r="K87" s="1"/>
      <c r="L87" s="1"/>
      <c r="M87" s="1"/>
      <c r="N87" s="1"/>
      <c r="O87" s="1">
        <v>30</v>
      </c>
      <c r="P87" s="1"/>
      <c r="Q87" s="1">
        <v>15</v>
      </c>
      <c r="R87" s="1"/>
      <c r="S87" s="1">
        <v>15</v>
      </c>
      <c r="T87" s="1"/>
      <c r="U87" s="1">
        <v>5</v>
      </c>
      <c r="V87" s="1"/>
      <c r="W87" s="1"/>
      <c r="X87" s="1"/>
      <c r="Y87" s="1"/>
      <c r="Z87" s="1"/>
      <c r="AA87" s="1"/>
      <c r="AB87" s="3">
        <f>5816+48817</f>
        <v>54633</v>
      </c>
      <c r="AC87" s="3"/>
      <c r="AD87" s="3">
        <f>34902</f>
        <v>34902</v>
      </c>
      <c r="AE87" s="3"/>
      <c r="AF87" s="3"/>
      <c r="AG87" s="4">
        <f t="shared" si="1"/>
        <v>89535</v>
      </c>
    </row>
    <row r="88" spans="1:33" x14ac:dyDescent="0.25">
      <c r="A88" s="1">
        <v>79</v>
      </c>
      <c r="B88" s="9" t="s">
        <v>134</v>
      </c>
      <c r="C88" s="2" t="s">
        <v>135</v>
      </c>
      <c r="D88" s="2" t="s">
        <v>274</v>
      </c>
      <c r="E88" s="1">
        <v>300</v>
      </c>
      <c r="F88" s="1">
        <v>100</v>
      </c>
      <c r="G88" s="1"/>
      <c r="H88" s="1"/>
      <c r="I88" s="1">
        <v>40</v>
      </c>
      <c r="J88" s="1"/>
      <c r="K88" s="1"/>
      <c r="L88" s="1"/>
      <c r="M88" s="1"/>
      <c r="N88" s="1"/>
      <c r="O88" s="1">
        <v>70</v>
      </c>
      <c r="P88" s="1">
        <v>40</v>
      </c>
      <c r="Q88" s="1">
        <v>70</v>
      </c>
      <c r="R88" s="1">
        <v>50</v>
      </c>
      <c r="S88" s="1">
        <v>20</v>
      </c>
      <c r="T88" s="1">
        <v>20</v>
      </c>
      <c r="U88" s="1"/>
      <c r="V88" s="1"/>
      <c r="W88" s="1"/>
      <c r="X88" s="1"/>
      <c r="Y88" s="1"/>
      <c r="Z88" s="1"/>
      <c r="AA88" s="1"/>
      <c r="AB88" s="3">
        <v>159191</v>
      </c>
      <c r="AC88" s="3"/>
      <c r="AD88" s="3">
        <v>144882</v>
      </c>
      <c r="AE88" s="3"/>
      <c r="AF88" s="3"/>
      <c r="AG88" s="4">
        <f t="shared" si="1"/>
        <v>304073</v>
      </c>
    </row>
    <row r="89" spans="1:33" x14ac:dyDescent="0.25">
      <c r="A89" s="1">
        <v>80</v>
      </c>
      <c r="B89" s="9" t="s">
        <v>138</v>
      </c>
      <c r="C89" s="2" t="s">
        <v>139</v>
      </c>
      <c r="D89" s="2" t="s">
        <v>274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3"/>
      <c r="AC89" s="3"/>
      <c r="AD89" s="3"/>
      <c r="AE89" s="3"/>
      <c r="AF89" s="3"/>
      <c r="AG89" s="4">
        <f t="shared" si="1"/>
        <v>0</v>
      </c>
    </row>
    <row r="90" spans="1:33" x14ac:dyDescent="0.25">
      <c r="A90" s="1">
        <v>81</v>
      </c>
      <c r="B90" s="9" t="s">
        <v>234</v>
      </c>
      <c r="C90" s="2" t="s">
        <v>235</v>
      </c>
      <c r="D90" s="2" t="s">
        <v>274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3"/>
      <c r="AC90" s="3"/>
      <c r="AD90" s="3"/>
      <c r="AE90" s="3"/>
      <c r="AF90" s="3"/>
      <c r="AG90" s="4">
        <f t="shared" si="1"/>
        <v>0</v>
      </c>
    </row>
    <row r="91" spans="1:33" x14ac:dyDescent="0.25">
      <c r="A91" s="1">
        <v>82</v>
      </c>
      <c r="B91" s="9" t="s">
        <v>289</v>
      </c>
      <c r="C91" s="2" t="s">
        <v>247</v>
      </c>
      <c r="D91" s="2" t="s">
        <v>274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3"/>
      <c r="AC91" s="3"/>
      <c r="AD91" s="3"/>
      <c r="AE91" s="3"/>
      <c r="AF91" s="3"/>
      <c r="AG91" s="4">
        <f t="shared" si="1"/>
        <v>0</v>
      </c>
    </row>
    <row r="92" spans="1:33" x14ac:dyDescent="0.25">
      <c r="A92" s="1">
        <v>83</v>
      </c>
      <c r="B92" s="9" t="s">
        <v>300</v>
      </c>
      <c r="C92" s="2" t="s">
        <v>301</v>
      </c>
      <c r="D92" s="2" t="s">
        <v>274</v>
      </c>
      <c r="E92" s="1">
        <v>100</v>
      </c>
      <c r="F92" s="1">
        <v>10</v>
      </c>
      <c r="G92" s="1"/>
      <c r="H92" s="1"/>
      <c r="I92" s="1">
        <v>10</v>
      </c>
      <c r="J92" s="1"/>
      <c r="K92" s="1">
        <v>15</v>
      </c>
      <c r="L92" s="1">
        <v>5</v>
      </c>
      <c r="M92" s="1">
        <v>15</v>
      </c>
      <c r="N92" s="1">
        <v>5</v>
      </c>
      <c r="O92" s="1">
        <v>50</v>
      </c>
      <c r="P92" s="1">
        <v>15</v>
      </c>
      <c r="Q92" s="1">
        <v>40</v>
      </c>
      <c r="R92" s="1">
        <v>15</v>
      </c>
      <c r="S92" s="1">
        <v>15</v>
      </c>
      <c r="T92" s="1">
        <v>15</v>
      </c>
      <c r="U92" s="1"/>
      <c r="V92" s="1"/>
      <c r="W92" s="1"/>
      <c r="X92" s="1"/>
      <c r="Y92" s="1"/>
      <c r="Z92" s="1"/>
      <c r="AA92" s="1"/>
      <c r="AB92" s="3">
        <f>38529</f>
        <v>38529</v>
      </c>
      <c r="AC92" s="3">
        <v>28150</v>
      </c>
      <c r="AD92" s="3">
        <v>80504</v>
      </c>
      <c r="AE92" s="3"/>
      <c r="AF92" s="3"/>
      <c r="AG92" s="4">
        <f t="shared" si="1"/>
        <v>147183</v>
      </c>
    </row>
    <row r="93" spans="1:33" x14ac:dyDescent="0.25">
      <c r="A93" s="1">
        <v>84</v>
      </c>
      <c r="B93" s="9" t="s">
        <v>294</v>
      </c>
      <c r="C93" s="2" t="s">
        <v>295</v>
      </c>
      <c r="D93" s="2" t="s">
        <v>274</v>
      </c>
      <c r="E93" s="1"/>
      <c r="F93" s="1"/>
      <c r="G93" s="1"/>
      <c r="H93" s="1"/>
      <c r="I93" s="1"/>
      <c r="J93" s="1"/>
      <c r="K93" s="1"/>
      <c r="L93" s="1"/>
      <c r="M93" s="1">
        <v>10</v>
      </c>
      <c r="N93" s="1">
        <v>8</v>
      </c>
      <c r="O93" s="1">
        <v>30</v>
      </c>
      <c r="P93" s="1">
        <v>90</v>
      </c>
      <c r="Q93" s="1">
        <v>30</v>
      </c>
      <c r="R93" s="1">
        <v>90</v>
      </c>
      <c r="S93" s="1"/>
      <c r="T93" s="1">
        <v>90</v>
      </c>
      <c r="U93" s="1">
        <v>30</v>
      </c>
      <c r="V93" s="1">
        <v>20</v>
      </c>
      <c r="W93" s="1">
        <v>10</v>
      </c>
      <c r="X93" s="1">
        <v>30</v>
      </c>
      <c r="Y93" s="1">
        <v>30</v>
      </c>
      <c r="Z93" s="1">
        <v>30</v>
      </c>
      <c r="AA93" s="1">
        <v>40</v>
      </c>
      <c r="AB93" s="3"/>
      <c r="AC93" s="3">
        <v>13399</v>
      </c>
      <c r="AD93" s="3">
        <v>202007</v>
      </c>
      <c r="AE93" s="3">
        <v>9197</v>
      </c>
      <c r="AF93" s="3">
        <v>58077</v>
      </c>
      <c r="AG93" s="4">
        <f t="shared" si="1"/>
        <v>282680</v>
      </c>
    </row>
    <row r="94" spans="1:33" x14ac:dyDescent="0.25">
      <c r="A94" s="1">
        <v>85</v>
      </c>
      <c r="B94" s="9" t="s">
        <v>142</v>
      </c>
      <c r="C94" s="2" t="s">
        <v>143</v>
      </c>
      <c r="D94" s="2" t="s">
        <v>274</v>
      </c>
      <c r="E94" s="1">
        <f>60+45</f>
        <v>105</v>
      </c>
      <c r="F94" s="1">
        <f>36+15</f>
        <v>51</v>
      </c>
      <c r="G94" s="1">
        <f>5+3</f>
        <v>8</v>
      </c>
      <c r="H94" s="1">
        <v>2</v>
      </c>
      <c r="I94" s="1">
        <f>12+9</f>
        <v>21</v>
      </c>
      <c r="J94" s="1"/>
      <c r="K94" s="1"/>
      <c r="L94" s="1"/>
      <c r="M94" s="1"/>
      <c r="N94" s="1"/>
      <c r="O94" s="1">
        <v>4</v>
      </c>
      <c r="P94" s="1">
        <v>9</v>
      </c>
      <c r="Q94" s="1">
        <v>4</v>
      </c>
      <c r="R94" s="1">
        <v>9</v>
      </c>
      <c r="S94" s="1">
        <v>3</v>
      </c>
      <c r="T94" s="1">
        <v>4</v>
      </c>
      <c r="U94" s="1"/>
      <c r="V94" s="1"/>
      <c r="W94" s="1"/>
      <c r="X94" s="1"/>
      <c r="Y94" s="1"/>
      <c r="Z94" s="1"/>
      <c r="AA94" s="1"/>
      <c r="AB94" s="3">
        <f>50332+31915</f>
        <v>82247</v>
      </c>
      <c r="AC94" s="3"/>
      <c r="AD94" s="3">
        <v>18561</v>
      </c>
      <c r="AE94" s="3"/>
      <c r="AF94" s="3"/>
      <c r="AG94" s="4">
        <f t="shared" si="1"/>
        <v>100808</v>
      </c>
    </row>
    <row r="95" spans="1:33" x14ac:dyDescent="0.25">
      <c r="A95" s="1">
        <v>86</v>
      </c>
      <c r="B95" s="5" t="s">
        <v>146</v>
      </c>
      <c r="C95" s="2" t="s">
        <v>147</v>
      </c>
      <c r="D95" s="2" t="s">
        <v>274</v>
      </c>
      <c r="E95" s="1">
        <f>40+20</f>
        <v>60</v>
      </c>
      <c r="F95" s="1">
        <f>15</f>
        <v>15</v>
      </c>
      <c r="G95" s="1">
        <f>4</f>
        <v>4</v>
      </c>
      <c r="H95" s="1"/>
      <c r="I95" s="1">
        <f>20+35</f>
        <v>55</v>
      </c>
      <c r="J95" s="1"/>
      <c r="K95" s="1">
        <f>2</f>
        <v>2</v>
      </c>
      <c r="L95" s="1">
        <f>2</f>
        <v>2</v>
      </c>
      <c r="M95" s="1">
        <f>2</f>
        <v>2</v>
      </c>
      <c r="N95" s="1">
        <f>2</f>
        <v>2</v>
      </c>
      <c r="O95" s="1"/>
      <c r="P95" s="1"/>
      <c r="Q95" s="1"/>
      <c r="R95" s="1"/>
      <c r="S95" s="1">
        <f>5</f>
        <v>5</v>
      </c>
      <c r="T95" s="1">
        <f>3</f>
        <v>3</v>
      </c>
      <c r="U95" s="1"/>
      <c r="V95" s="1"/>
      <c r="W95" s="1"/>
      <c r="X95" s="1">
        <f>2</f>
        <v>2</v>
      </c>
      <c r="Y95" s="1"/>
      <c r="Z95" s="1">
        <f>2</f>
        <v>2</v>
      </c>
      <c r="AA95" s="1"/>
      <c r="AB95" s="3">
        <f>39928+36280</f>
        <v>76208</v>
      </c>
      <c r="AC95" s="3">
        <f>6355</f>
        <v>6355</v>
      </c>
      <c r="AD95" s="3">
        <f>4459</f>
        <v>4459</v>
      </c>
      <c r="AE95" s="3"/>
      <c r="AF95" s="3">
        <f>1858</f>
        <v>1858</v>
      </c>
      <c r="AG95" s="4">
        <f t="shared" si="1"/>
        <v>88880</v>
      </c>
    </row>
    <row r="96" spans="1:33" ht="15.75" thickBot="1" x14ac:dyDescent="0.3">
      <c r="A96" s="1">
        <v>87</v>
      </c>
      <c r="B96" s="5" t="s">
        <v>148</v>
      </c>
      <c r="C96" s="2" t="s">
        <v>149</v>
      </c>
      <c r="D96" s="2" t="s">
        <v>274</v>
      </c>
      <c r="E96" s="1">
        <f>150</f>
        <v>150</v>
      </c>
      <c r="F96" s="1">
        <f>4</f>
        <v>4</v>
      </c>
      <c r="G96" s="1"/>
      <c r="H96" s="1"/>
      <c r="I96" s="1">
        <f>10</f>
        <v>10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3">
        <f>51367</f>
        <v>51367</v>
      </c>
      <c r="AC96" s="3"/>
      <c r="AD96" s="3"/>
      <c r="AE96" s="3"/>
      <c r="AF96" s="3"/>
      <c r="AG96" s="4">
        <f t="shared" si="1"/>
        <v>51367</v>
      </c>
    </row>
    <row r="97" spans="1:33" ht="15.75" hidden="1" thickBot="1" x14ac:dyDescent="0.3">
      <c r="A97" s="1"/>
      <c r="B97" s="35" t="s">
        <v>223</v>
      </c>
      <c r="C97" s="36" t="s">
        <v>224</v>
      </c>
      <c r="D97" s="28" t="s">
        <v>274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3"/>
      <c r="AC97" s="13"/>
      <c r="AD97" s="13"/>
      <c r="AE97" s="13"/>
      <c r="AF97" s="13"/>
      <c r="AG97" s="4">
        <f t="shared" si="1"/>
        <v>0</v>
      </c>
    </row>
    <row r="98" spans="1:33" ht="15.75" thickBot="1" x14ac:dyDescent="0.3">
      <c r="A98" s="39" t="s">
        <v>150</v>
      </c>
      <c r="B98" s="40"/>
      <c r="C98" s="24"/>
      <c r="D98" s="24"/>
      <c r="E98" s="25">
        <f t="shared" ref="E98:AG98" si="2">SUM(E5:E97)</f>
        <v>40771</v>
      </c>
      <c r="F98" s="25">
        <f t="shared" si="2"/>
        <v>9420</v>
      </c>
      <c r="G98" s="25">
        <f t="shared" si="2"/>
        <v>817</v>
      </c>
      <c r="H98" s="25">
        <f t="shared" si="2"/>
        <v>242</v>
      </c>
      <c r="I98" s="25">
        <f t="shared" si="2"/>
        <v>3143</v>
      </c>
      <c r="J98" s="25">
        <f t="shared" si="2"/>
        <v>143</v>
      </c>
      <c r="K98" s="25">
        <f t="shared" si="2"/>
        <v>85</v>
      </c>
      <c r="L98" s="25">
        <f t="shared" si="2"/>
        <v>87</v>
      </c>
      <c r="M98" s="25">
        <f t="shared" si="2"/>
        <v>234</v>
      </c>
      <c r="N98" s="25">
        <f t="shared" si="2"/>
        <v>129</v>
      </c>
      <c r="O98" s="25">
        <f t="shared" si="2"/>
        <v>3399</v>
      </c>
      <c r="P98" s="25">
        <f t="shared" si="2"/>
        <v>3269</v>
      </c>
      <c r="Q98" s="25">
        <f t="shared" si="2"/>
        <v>2099</v>
      </c>
      <c r="R98" s="25">
        <f t="shared" si="2"/>
        <v>2274</v>
      </c>
      <c r="S98" s="25">
        <f t="shared" si="2"/>
        <v>843</v>
      </c>
      <c r="T98" s="25">
        <f t="shared" si="2"/>
        <v>2477</v>
      </c>
      <c r="U98" s="25">
        <f t="shared" si="2"/>
        <v>1265</v>
      </c>
      <c r="V98" s="25">
        <f t="shared" si="2"/>
        <v>1767</v>
      </c>
      <c r="W98" s="25">
        <f t="shared" si="2"/>
        <v>2111</v>
      </c>
      <c r="X98" s="25">
        <f t="shared" si="2"/>
        <v>384</v>
      </c>
      <c r="Y98" s="25">
        <f t="shared" si="2"/>
        <v>382</v>
      </c>
      <c r="Z98" s="25">
        <f t="shared" si="2"/>
        <v>330</v>
      </c>
      <c r="AA98" s="25">
        <f t="shared" si="2"/>
        <v>409</v>
      </c>
      <c r="AB98" s="26">
        <f t="shared" si="2"/>
        <v>18964368</v>
      </c>
      <c r="AC98" s="26">
        <f t="shared" si="2"/>
        <v>396956</v>
      </c>
      <c r="AD98" s="26">
        <f t="shared" si="2"/>
        <v>9225454</v>
      </c>
      <c r="AE98" s="26">
        <f t="shared" si="2"/>
        <v>1902498</v>
      </c>
      <c r="AF98" s="26">
        <f t="shared" si="2"/>
        <v>673167</v>
      </c>
      <c r="AG98" s="26">
        <f t="shared" si="2"/>
        <v>31162443</v>
      </c>
    </row>
  </sheetData>
  <mergeCells count="3">
    <mergeCell ref="A1:AG1"/>
    <mergeCell ref="A2:AG2"/>
    <mergeCell ref="A98:B98"/>
  </mergeCells>
  <pageMargins left="0.15748031496062992" right="0.11811023622047245" top="0.15748031496062992" bottom="0.15748031496062992" header="0.15748031496062992" footer="0.15748031496062992"/>
  <pageSetup paperSize="5" scale="5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</vt:lpstr>
      <vt:lpstr>MAY</vt:lpstr>
      <vt:lpstr>JUNE</vt:lpstr>
      <vt:lpstr>JULY</vt:lpstr>
      <vt:lpstr>AUG</vt:lpstr>
      <vt:lpstr>SEP</vt:lpstr>
      <vt:lpstr>OCT</vt:lpstr>
      <vt:lpstr>NOV</vt:lpstr>
      <vt:lpstr>DEC</vt:lpstr>
      <vt:lpstr>JAN</vt:lpstr>
      <vt:lpstr>FEB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2025-04-26T09:51:08Z</cp:lastPrinted>
  <dcterms:created xsi:type="dcterms:W3CDTF">2015-06-05T18:17:20Z</dcterms:created>
  <dcterms:modified xsi:type="dcterms:W3CDTF">2025-04-26T09:52:46Z</dcterms:modified>
</cp:coreProperties>
</file>